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uhri\Downloads\"/>
    </mc:Choice>
  </mc:AlternateContent>
  <bookViews>
    <workbookView xWindow="0" yWindow="0" windowWidth="23040" windowHeight="10512" activeTab="2"/>
  </bookViews>
  <sheets>
    <sheet name="2025" sheetId="1" r:id="rId1"/>
    <sheet name="2026" sheetId="2" r:id="rId2"/>
    <sheet name="2027" sheetId="3" r:id="rId3"/>
    <sheet name="Критерии_и_обоснование" sheetId="4" r:id="rId4"/>
  </sheets>
  <calcPr calcId="162913"/>
</workbook>
</file>

<file path=xl/calcChain.xml><?xml version="1.0" encoding="utf-8"?>
<calcChain xmlns="http://schemas.openxmlformats.org/spreadsheetml/2006/main">
  <c r="K3" i="3" l="1"/>
  <c r="B3" i="4"/>
  <c r="K140" i="3"/>
  <c r="G140" i="3"/>
  <c r="K138" i="3"/>
  <c r="G138" i="3"/>
  <c r="K137" i="3"/>
  <c r="G137" i="3"/>
  <c r="K136" i="3"/>
  <c r="G136" i="3"/>
  <c r="K135" i="3"/>
  <c r="G135" i="3"/>
  <c r="K134" i="3"/>
  <c r="G134" i="3"/>
  <c r="K132" i="3"/>
  <c r="G132" i="3"/>
  <c r="K131" i="3"/>
  <c r="G131" i="3"/>
  <c r="K130" i="3"/>
  <c r="G130" i="3"/>
  <c r="K129" i="3"/>
  <c r="G129" i="3"/>
  <c r="K128" i="3"/>
  <c r="G128" i="3"/>
  <c r="K124" i="3"/>
  <c r="G124" i="3"/>
  <c r="K123" i="3"/>
  <c r="G123" i="3"/>
  <c r="K122" i="3"/>
  <c r="G122" i="3"/>
  <c r="J118" i="3"/>
  <c r="I118" i="3"/>
  <c r="K118" i="3" s="1"/>
  <c r="G118" i="3"/>
  <c r="K116" i="3"/>
  <c r="G116" i="3"/>
  <c r="K114" i="3"/>
  <c r="G114" i="3"/>
  <c r="K113" i="3"/>
  <c r="G113" i="3"/>
  <c r="K112" i="3"/>
  <c r="G112" i="3"/>
  <c r="K111" i="3"/>
  <c r="G111" i="3"/>
  <c r="K110" i="3"/>
  <c r="G110" i="3"/>
  <c r="K108" i="3"/>
  <c r="G108" i="3"/>
  <c r="K107" i="3"/>
  <c r="G107" i="3"/>
  <c r="K106" i="3"/>
  <c r="G106" i="3"/>
  <c r="K105" i="3"/>
  <c r="G105" i="3"/>
  <c r="K104" i="3"/>
  <c r="G104" i="3"/>
  <c r="K102" i="3"/>
  <c r="G102" i="3"/>
  <c r="K101" i="3"/>
  <c r="G101" i="3"/>
  <c r="K100" i="3"/>
  <c r="G100" i="3"/>
  <c r="J96" i="3"/>
  <c r="I96" i="3"/>
  <c r="K96" i="3" s="1"/>
  <c r="G96" i="3"/>
  <c r="J95" i="3"/>
  <c r="I95" i="3"/>
  <c r="K95" i="3" s="1"/>
  <c r="G95" i="3"/>
  <c r="J94" i="3"/>
  <c r="I94" i="3"/>
  <c r="K94" i="3" s="1"/>
  <c r="G94" i="3"/>
  <c r="J93" i="3"/>
  <c r="I93" i="3"/>
  <c r="K93" i="3" s="1"/>
  <c r="G93" i="3"/>
  <c r="J89" i="3"/>
  <c r="I89" i="3"/>
  <c r="K89" i="3" s="1"/>
  <c r="G89" i="3"/>
  <c r="J88" i="3"/>
  <c r="I88" i="3"/>
  <c r="K88" i="3" s="1"/>
  <c r="G88" i="3"/>
  <c r="J87" i="3"/>
  <c r="I87" i="3"/>
  <c r="K87" i="3" s="1"/>
  <c r="G87" i="3"/>
  <c r="J86" i="3"/>
  <c r="I86" i="3"/>
  <c r="K86" i="3" s="1"/>
  <c r="G86" i="3"/>
  <c r="J85" i="3"/>
  <c r="I85" i="3"/>
  <c r="K85" i="3" s="1"/>
  <c r="G85" i="3"/>
  <c r="J81" i="3"/>
  <c r="I81" i="3"/>
  <c r="K81" i="3" s="1"/>
  <c r="G81" i="3"/>
  <c r="J80" i="3"/>
  <c r="I80" i="3"/>
  <c r="K80" i="3" s="1"/>
  <c r="G80" i="3"/>
  <c r="J79" i="3"/>
  <c r="I79" i="3"/>
  <c r="K79" i="3" s="1"/>
  <c r="G79" i="3"/>
  <c r="J77" i="3"/>
  <c r="I77" i="3"/>
  <c r="K77" i="3" s="1"/>
  <c r="G77" i="3"/>
  <c r="J76" i="3"/>
  <c r="I76" i="3"/>
  <c r="K76" i="3" s="1"/>
  <c r="G76" i="3"/>
  <c r="J75" i="3"/>
  <c r="I75" i="3"/>
  <c r="K75" i="3" s="1"/>
  <c r="G75" i="3"/>
  <c r="J74" i="3"/>
  <c r="I74" i="3"/>
  <c r="K74" i="3" s="1"/>
  <c r="G74" i="3"/>
  <c r="J73" i="3"/>
  <c r="I73" i="3"/>
  <c r="K73" i="3" s="1"/>
  <c r="G73" i="3"/>
  <c r="J71" i="3"/>
  <c r="I71" i="3"/>
  <c r="K71" i="3" s="1"/>
  <c r="G71" i="3"/>
  <c r="J70" i="3"/>
  <c r="I70" i="3"/>
  <c r="K70" i="3" s="1"/>
  <c r="G70" i="3"/>
  <c r="J69" i="3"/>
  <c r="I69" i="3"/>
  <c r="K69" i="3" s="1"/>
  <c r="G69" i="3"/>
  <c r="J68" i="3"/>
  <c r="I68" i="3"/>
  <c r="K68" i="3" s="1"/>
  <c r="G68" i="3"/>
  <c r="J67" i="3"/>
  <c r="I67" i="3"/>
  <c r="K67" i="3" s="1"/>
  <c r="G67" i="3"/>
  <c r="J63" i="3"/>
  <c r="I63" i="3"/>
  <c r="K63" i="3" s="1"/>
  <c r="G63" i="3"/>
  <c r="J62" i="3"/>
  <c r="I62" i="3"/>
  <c r="K62" i="3" s="1"/>
  <c r="G62" i="3"/>
  <c r="J61" i="3"/>
  <c r="I61" i="3"/>
  <c r="K61" i="3" s="1"/>
  <c r="G61" i="3"/>
  <c r="J60" i="3"/>
  <c r="I60" i="3"/>
  <c r="K60" i="3" s="1"/>
  <c r="G60" i="3"/>
  <c r="J59" i="3"/>
  <c r="I59" i="3"/>
  <c r="K59" i="3" s="1"/>
  <c r="G59" i="3"/>
  <c r="J58" i="3"/>
  <c r="I58" i="3"/>
  <c r="K58" i="3" s="1"/>
  <c r="G58" i="3"/>
  <c r="J57" i="3"/>
  <c r="I57" i="3"/>
  <c r="K57" i="3" s="1"/>
  <c r="G57" i="3"/>
  <c r="J56" i="3"/>
  <c r="I56" i="3"/>
  <c r="K56" i="3" s="1"/>
  <c r="G56" i="3"/>
  <c r="J55" i="3"/>
  <c r="I55" i="3"/>
  <c r="K55" i="3" s="1"/>
  <c r="G55" i="3"/>
  <c r="J54" i="3"/>
  <c r="I54" i="3"/>
  <c r="K54" i="3" s="1"/>
  <c r="G54" i="3"/>
  <c r="J53" i="3"/>
  <c r="I53" i="3"/>
  <c r="K53" i="3" s="1"/>
  <c r="G53" i="3"/>
  <c r="J52" i="3"/>
  <c r="I52" i="3"/>
  <c r="K52" i="3" s="1"/>
  <c r="G52" i="3"/>
  <c r="K50" i="3"/>
  <c r="G50" i="3"/>
  <c r="K49" i="3"/>
  <c r="G49" i="3"/>
  <c r="K48" i="3"/>
  <c r="G48" i="3"/>
  <c r="K47" i="3"/>
  <c r="G47" i="3"/>
  <c r="K46" i="3"/>
  <c r="G46" i="3"/>
  <c r="K40" i="3"/>
  <c r="G40" i="3"/>
  <c r="K39" i="3"/>
  <c r="G39" i="3"/>
  <c r="K38" i="3"/>
  <c r="G38" i="3"/>
  <c r="K36" i="3"/>
  <c r="G36" i="3"/>
  <c r="K35" i="3"/>
  <c r="G35" i="3"/>
  <c r="K34" i="3"/>
  <c r="G34" i="3"/>
  <c r="J29" i="3"/>
  <c r="I29" i="3"/>
  <c r="K29" i="3" s="1"/>
  <c r="G29" i="3"/>
  <c r="K28" i="3"/>
  <c r="J28" i="3"/>
  <c r="I28" i="3"/>
  <c r="G28" i="3"/>
  <c r="J27" i="3"/>
  <c r="I27" i="3"/>
  <c r="K27" i="3" s="1"/>
  <c r="G27" i="3"/>
  <c r="J26" i="3"/>
  <c r="I26" i="3"/>
  <c r="K26" i="3" s="1"/>
  <c r="G26" i="3"/>
  <c r="J19" i="3"/>
  <c r="I19" i="3"/>
  <c r="K19" i="3" s="1"/>
  <c r="G19" i="3"/>
  <c r="K17" i="3"/>
  <c r="G17" i="3"/>
  <c r="K16" i="3"/>
  <c r="G16" i="3"/>
  <c r="K15" i="3"/>
  <c r="G15" i="3"/>
  <c r="K14" i="3"/>
  <c r="G14" i="3"/>
  <c r="K13" i="3"/>
  <c r="G13" i="3"/>
  <c r="K11" i="3"/>
  <c r="G11" i="3"/>
  <c r="K10" i="3"/>
  <c r="G10" i="3"/>
  <c r="K9" i="3"/>
  <c r="G9" i="3"/>
  <c r="K8" i="3"/>
  <c r="G8" i="3"/>
  <c r="K7" i="3"/>
  <c r="G7" i="3"/>
  <c r="K6" i="3"/>
  <c r="G6" i="3"/>
  <c r="K5" i="3"/>
  <c r="G5" i="3"/>
  <c r="K4" i="3"/>
  <c r="G4" i="3"/>
  <c r="G3" i="3"/>
  <c r="G140" i="2"/>
  <c r="G138" i="2"/>
  <c r="G137" i="2"/>
  <c r="G136" i="2"/>
  <c r="G135" i="2"/>
  <c r="G134" i="2"/>
  <c r="G132" i="2"/>
  <c r="G131" i="2"/>
  <c r="G130" i="2"/>
  <c r="G129" i="2"/>
  <c r="G128" i="2"/>
  <c r="K124" i="2"/>
  <c r="G124" i="2"/>
  <c r="K123" i="2"/>
  <c r="G123" i="2"/>
  <c r="K122" i="2"/>
  <c r="G122" i="2"/>
  <c r="J118" i="2"/>
  <c r="I118" i="2"/>
  <c r="K118" i="2" s="1"/>
  <c r="G118" i="2"/>
  <c r="K116" i="2"/>
  <c r="G116" i="2"/>
  <c r="K114" i="2"/>
  <c r="G114" i="2"/>
  <c r="K113" i="2"/>
  <c r="G113" i="2"/>
  <c r="K112" i="2"/>
  <c r="G112" i="2"/>
  <c r="K111" i="2"/>
  <c r="G111" i="2"/>
  <c r="K110" i="2"/>
  <c r="G110" i="2"/>
  <c r="K108" i="2"/>
  <c r="G108" i="2"/>
  <c r="K107" i="2"/>
  <c r="G107" i="2"/>
  <c r="K106" i="2"/>
  <c r="G106" i="2"/>
  <c r="K105" i="2"/>
  <c r="G105" i="2"/>
  <c r="K104" i="2"/>
  <c r="G104" i="2"/>
  <c r="K102" i="2"/>
  <c r="G102" i="2"/>
  <c r="K101" i="2"/>
  <c r="G101" i="2"/>
  <c r="K100" i="2"/>
  <c r="G100" i="2"/>
  <c r="J96" i="2"/>
  <c r="I96" i="2"/>
  <c r="K96" i="2" s="1"/>
  <c r="G96" i="2"/>
  <c r="J95" i="2"/>
  <c r="I95" i="2"/>
  <c r="K95" i="2" s="1"/>
  <c r="G95" i="2"/>
  <c r="J94" i="2"/>
  <c r="I94" i="2"/>
  <c r="K94" i="2" s="1"/>
  <c r="G94" i="2"/>
  <c r="J93" i="2"/>
  <c r="I93" i="2"/>
  <c r="K93" i="2" s="1"/>
  <c r="G93" i="2"/>
  <c r="J89" i="2"/>
  <c r="I89" i="2"/>
  <c r="K89" i="2" s="1"/>
  <c r="G89" i="2"/>
  <c r="J88" i="2"/>
  <c r="I88" i="2"/>
  <c r="K88" i="2" s="1"/>
  <c r="G88" i="2"/>
  <c r="J87" i="2"/>
  <c r="I87" i="2"/>
  <c r="K87" i="2" s="1"/>
  <c r="G87" i="2"/>
  <c r="J86" i="2"/>
  <c r="I86" i="2"/>
  <c r="K86" i="2" s="1"/>
  <c r="G86" i="2"/>
  <c r="J85" i="2"/>
  <c r="I85" i="2"/>
  <c r="K85" i="2" s="1"/>
  <c r="G85" i="2"/>
  <c r="J81" i="2"/>
  <c r="I81" i="2"/>
  <c r="K81" i="2" s="1"/>
  <c r="G81" i="2"/>
  <c r="J80" i="2"/>
  <c r="I80" i="2"/>
  <c r="K80" i="2" s="1"/>
  <c r="G80" i="2"/>
  <c r="J79" i="2"/>
  <c r="I79" i="2"/>
  <c r="K79" i="2" s="1"/>
  <c r="G79" i="2"/>
  <c r="J77" i="2"/>
  <c r="I77" i="2"/>
  <c r="K77" i="2" s="1"/>
  <c r="G77" i="2"/>
  <c r="J76" i="2"/>
  <c r="I76" i="2"/>
  <c r="K76" i="2" s="1"/>
  <c r="G76" i="2"/>
  <c r="J75" i="2"/>
  <c r="I75" i="2"/>
  <c r="K75" i="2" s="1"/>
  <c r="G75" i="2"/>
  <c r="J74" i="2"/>
  <c r="I74" i="2"/>
  <c r="K74" i="2" s="1"/>
  <c r="G74" i="2"/>
  <c r="J73" i="2"/>
  <c r="I73" i="2"/>
  <c r="K73" i="2" s="1"/>
  <c r="G73" i="2"/>
  <c r="J71" i="2"/>
  <c r="I71" i="2"/>
  <c r="K71" i="2" s="1"/>
  <c r="G71" i="2"/>
  <c r="J70" i="2"/>
  <c r="I70" i="2"/>
  <c r="K70" i="2" s="1"/>
  <c r="G70" i="2"/>
  <c r="J69" i="2"/>
  <c r="I69" i="2"/>
  <c r="K69" i="2" s="1"/>
  <c r="G69" i="2"/>
  <c r="J68" i="2"/>
  <c r="I68" i="2"/>
  <c r="K68" i="2" s="1"/>
  <c r="G68" i="2"/>
  <c r="J67" i="2"/>
  <c r="I67" i="2"/>
  <c r="K67" i="2" s="1"/>
  <c r="G67" i="2"/>
  <c r="J63" i="2"/>
  <c r="I63" i="2"/>
  <c r="K63" i="2" s="1"/>
  <c r="G63" i="2"/>
  <c r="J62" i="2"/>
  <c r="I62" i="2"/>
  <c r="K62" i="2" s="1"/>
  <c r="G62" i="2"/>
  <c r="J61" i="2"/>
  <c r="I61" i="2"/>
  <c r="K61" i="2" s="1"/>
  <c r="G61" i="2"/>
  <c r="J60" i="2"/>
  <c r="I60" i="2"/>
  <c r="K60" i="2" s="1"/>
  <c r="G60" i="2"/>
  <c r="J59" i="2"/>
  <c r="I59" i="2"/>
  <c r="K59" i="2" s="1"/>
  <c r="G59" i="2"/>
  <c r="J58" i="2"/>
  <c r="I58" i="2"/>
  <c r="K58" i="2" s="1"/>
  <c r="G58" i="2"/>
  <c r="J57" i="2"/>
  <c r="I57" i="2"/>
  <c r="K57" i="2" s="1"/>
  <c r="G57" i="2"/>
  <c r="J56" i="2"/>
  <c r="I56" i="2"/>
  <c r="K56" i="2" s="1"/>
  <c r="G56" i="2"/>
  <c r="J55" i="2"/>
  <c r="I55" i="2"/>
  <c r="K55" i="2" s="1"/>
  <c r="G55" i="2"/>
  <c r="J54" i="2"/>
  <c r="I54" i="2"/>
  <c r="K54" i="2" s="1"/>
  <c r="G54" i="2"/>
  <c r="J53" i="2"/>
  <c r="I53" i="2"/>
  <c r="K53" i="2" s="1"/>
  <c r="G53" i="2"/>
  <c r="J52" i="2"/>
  <c r="I52" i="2"/>
  <c r="K52" i="2" s="1"/>
  <c r="G52" i="2"/>
  <c r="K50" i="2"/>
  <c r="G50" i="2"/>
  <c r="K49" i="2"/>
  <c r="G49" i="2"/>
  <c r="K48" i="2"/>
  <c r="G48" i="2"/>
  <c r="K47" i="2"/>
  <c r="G47" i="2"/>
  <c r="K46" i="2"/>
  <c r="G46" i="2"/>
  <c r="K40" i="2"/>
  <c r="G40" i="2"/>
  <c r="K39" i="2"/>
  <c r="G39" i="2"/>
  <c r="K38" i="2"/>
  <c r="G38" i="2"/>
  <c r="K36" i="2"/>
  <c r="G36" i="2"/>
  <c r="K35" i="2"/>
  <c r="G35" i="2"/>
  <c r="K34" i="2"/>
  <c r="G34" i="2"/>
  <c r="J29" i="2"/>
  <c r="I29" i="2"/>
  <c r="K29" i="2" s="1"/>
  <c r="G29" i="2"/>
  <c r="J28" i="2"/>
  <c r="K28" i="2" s="1"/>
  <c r="I28" i="2"/>
  <c r="G28" i="2"/>
  <c r="J27" i="2"/>
  <c r="I27" i="2"/>
  <c r="K27" i="2" s="1"/>
  <c r="G27" i="2"/>
  <c r="J26" i="2"/>
  <c r="I26" i="2"/>
  <c r="K26" i="2" s="1"/>
  <c r="G26" i="2"/>
  <c r="J19" i="2"/>
  <c r="I19" i="2"/>
  <c r="K19" i="2" s="1"/>
  <c r="G19" i="2"/>
  <c r="K17" i="2"/>
  <c r="G17" i="2"/>
  <c r="K16" i="2"/>
  <c r="G16" i="2"/>
  <c r="K15" i="2"/>
  <c r="G15" i="2"/>
  <c r="K14" i="2"/>
  <c r="G14" i="2"/>
  <c r="K13" i="2"/>
  <c r="G13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</calcChain>
</file>

<file path=xl/sharedStrings.xml><?xml version="1.0" encoding="utf-8"?>
<sst xmlns="http://schemas.openxmlformats.org/spreadsheetml/2006/main" count="193" uniqueCount="95">
  <si>
    <t>Даты проведения калибровки, Все результаты калибровки, Критерии приемки и дата следующей калибровки  OOO "EURO PROF TEST"</t>
  </si>
  <si>
    <t>Наименование оборудования (марка, модель, инв. номер)</t>
  </si>
  <si>
    <t>Диапазон измерения</t>
  </si>
  <si>
    <t>Номер и дата сертификата калибровки</t>
  </si>
  <si>
    <t>Калибровочные точки</t>
  </si>
  <si>
    <t>Отклонение</t>
  </si>
  <si>
    <t>Расширенная неопределенность</t>
  </si>
  <si>
    <t>Отклонение минус расширенная неопределенность</t>
  </si>
  <si>
    <t>Наименование документа, установившего предел погрешности для прибора</t>
  </si>
  <si>
    <t>Верхний предел погрешности</t>
  </si>
  <si>
    <t>Нижний предел погрешности</t>
  </si>
  <si>
    <t>Заключение (соответствует / не соответствует)</t>
  </si>
  <si>
    <t>Дата следующей калибровки</t>
  </si>
  <si>
    <t>Ответственный сотрудник (Ф.И.О.) и подпись</t>
  </si>
  <si>
    <t>1. СЕНСОРИКА М ТОРМОЗНОЙ ИСД-3 №2023.387</t>
  </si>
  <si>
    <t xml:space="preserve">ДИ: (от 0,72 до 180) km/s;     ЦД; 0,01 km/s   </t>
  </si>
  <si>
    <t xml:space="preserve"> ZD202601020251,  02.01.2026
"Shenzhen Zhongiidian Metrology and Testing Technology Со., Ltd."</t>
  </si>
  <si>
    <t>Основание: Паспорт (раздел 5) и Правила ЕЭК ООН № 13-H (приложение 3, п. 1.4, 1.5, 2.1). Предел допускаемой погрешности скорости (V): ΔV = ±(0,1% * V + 0,01 km/s). Предел допускаемой погрешности дистанции (S): ΔS = ±(0,5% * S + 0,01 m).</t>
  </si>
  <si>
    <t>Раупов.М</t>
  </si>
  <si>
    <t xml:space="preserve">ДИ: (от 1,0 до 200) m;          ЦД; 1 m </t>
  </si>
  <si>
    <t>km/s</t>
  </si>
  <si>
    <t>m</t>
  </si>
  <si>
    <t xml:space="preserve"> 2. измеретель дымности отроботавших газов МЕТА-01ПМ 0.1 №25606 </t>
  </si>
  <si>
    <t>ДИ: (от 0 до 5) %Vol.; ЦД: 0,01 %Vol.</t>
  </si>
  <si>
    <t xml:space="preserve"> ZD20260114048, 14.01.2026
"Shenzhen Zhongiidian Metrology and Testing Technology Со., Ltd."</t>
  </si>
  <si>
    <t>ГОСТ 21393-75, п. 2.1 Предел погрешности прибора установлен ±5% от измеряемой величины.</t>
  </si>
  <si>
    <t xml:space="preserve"> 3.3.“META” ТОНИК Светопропускания №3366 </t>
  </si>
  <si>
    <t>ДИ: (от 7,8 до 81,2) %;         ЦД: 0,1 %</t>
  </si>
  <si>
    <t>ZD202601190474, 19.01.2026                       "Shenzhen Zhongiidian Metrology and Testing Technology Со., Ltd."</t>
  </si>
  <si>
    <t>Паспорт прибора и ГОСТ 32565—2013 (± 2 %)</t>
  </si>
  <si>
    <t xml:space="preserve"> 4. .Термогигрометр HTC-1 Инв.№13 , ,Инв.№83,Инв.№10</t>
  </si>
  <si>
    <t>ДИ: (40-80) %, ЦД: 1 %   ДИ: (15-30) °C, ЦД: 0,1 °C</t>
  </si>
  <si>
    <t xml:space="preserve"> ZD202603240033, ZD202603240034, ZD202603240035, 24.03.2026                       "Shenzhen Zhongiidian Metrology and Testing Technology Со., Ltd."</t>
  </si>
  <si>
    <t>Паспорт прибора HTC-1 (± 5 %),                                 Паспорт прибора HTC-1 и ГОСТ 28498-90 (± 1 °C)</t>
  </si>
  <si>
    <t xml:space="preserve"> 5.Секундомер механический зав.№ 5065</t>
  </si>
  <si>
    <t>ДИ, от 5 до 3600 s
ПГ ± 0,55 s</t>
  </si>
  <si>
    <t xml:space="preserve"> ZD202603240036 , 24.03.2026                       "Shenzhen Zhongiidian Metrology and Testing Technology Со., Ltd."</t>
  </si>
  <si>
    <t>паспорт прибора и ГОСТ 5072-84 (±0,55 s)</t>
  </si>
  <si>
    <t xml:space="preserve"> 6.Газоанализатор многокомпонентный Автотест-02.02М Зав.№21216</t>
  </si>
  <si>
    <t>ДИ: (0 ÷ 25) % O₂; ЦД: 0,1 %
ДИ: (0 ÷ 100) %LEL CH₄;   ЦД: 1 %LEL
ДИ: (0 ÷ 1000) ppm CO;   ЦД: 1 ppm
ДИ: (0 ÷ 500) ppm H₂S;    ЦД: 1 ppm</t>
  </si>
  <si>
    <t xml:space="preserve"> ZD202603240037,        24.03.2026     "Shenzhen Zhongiidian Metrology and Testing Technology Со., Ltd."</t>
  </si>
  <si>
    <t>паспорт прибора и ГОСТ 33997-2016</t>
  </si>
  <si>
    <t xml:space="preserve">  24.03.2027</t>
  </si>
  <si>
    <t>O₂</t>
  </si>
  <si>
    <t>CH₄ (%LEL)</t>
  </si>
  <si>
    <t>CO</t>
  </si>
  <si>
    <t>H₂S</t>
  </si>
  <si>
    <t xml:space="preserve"> 7.Линейка измерительная металлическая NA. зав.№18-014-1000</t>
  </si>
  <si>
    <t>ДИ:  (от 0 до 1000 ) mm             ЦД: 1 mm</t>
  </si>
  <si>
    <t>ZD202603240032                     24.03.2026   "Shenzhen Zhongiidian Metrology and Testing Technology Со., Ltd."</t>
  </si>
  <si>
    <t>паспорт прибора и ГОСТ 427-75 (±0,20 mm)</t>
  </si>
  <si>
    <t>8. Линейка измерительная металлическая  инв.№76</t>
  </si>
  <si>
    <t>ДИ:  (от 0 до 300 ) mm             ЦД: 0,1 mm</t>
  </si>
  <si>
    <t xml:space="preserve"> ZD202603240031    27.03.2026       "Shenzhen Zhongiidian Metrology and Testing Technology Со., Ltd."</t>
  </si>
  <si>
    <t>паспорт прибора и ГОСТ 427-75 (±0,2 mm)</t>
  </si>
  <si>
    <t xml:space="preserve"> 9. Термометр жидкостной стеклянный №209 </t>
  </si>
  <si>
    <t xml:space="preserve">ДИ: от 0 до 50 °C, </t>
  </si>
  <si>
    <t xml:space="preserve"> ZD20260з240030        24.03.2026         "Shenzhen Zhongiidian Metrology and Testing Technology Со., Ltd."</t>
  </si>
  <si>
    <t>паспорт прибора и ГОСТ 28498-90 (±1 mm)</t>
  </si>
  <si>
    <t xml:space="preserve"> 10.Штангенреймас зав.№ 84725</t>
  </si>
  <si>
    <t>ДИ: от 0 до 400 mm, КТ: 2; ПГ: ±0,06</t>
  </si>
  <si>
    <t>ZD202603240029        24.03.2026  "Shenzhen Zhongiidian Metrology and Testing Technology Со., Ltd."</t>
  </si>
  <si>
    <t>ГОСТ 7502-98 (±0.5 mm / 5 m)</t>
  </si>
  <si>
    <t xml:space="preserve"> 11.Штангенреймас зав.№73482</t>
  </si>
  <si>
    <t>ZD202603240028        24.03.2026  "Shenzhen Zhongiidian Metrology and Testing Technology Со., Ltd."</t>
  </si>
  <si>
    <t>12.Щупы Радиусные шаблоны зав.№ 4 №14</t>
  </si>
  <si>
    <t>ДИ: от 0,2 до 1,0 mm,  ПГ: 0,0</t>
  </si>
  <si>
    <t>ZD202603240027 24.03.2026  "Shenzhen Zhongiidian Metrology and Testing Technology Со., Ltd."</t>
  </si>
  <si>
    <t>ГОСТ 28498-90, п. 3.2. Предел доп. погрешности: ±1,0 mm.</t>
  </si>
  <si>
    <t xml:space="preserve"> </t>
  </si>
  <si>
    <t xml:space="preserve">13. Штангенциркуль тип.ШЦЦ-I зав.№300 </t>
  </si>
  <si>
    <t>ДИ: от 0,5 до 150 mm,  ПГ: 0,01</t>
  </si>
  <si>
    <t>ZD202603240026 24.03.2026  "Shenzhen Zhongiidian Metrology and Testing Technology Со., Ltd."</t>
  </si>
  <si>
    <t>Согласно сертификату калибровки  допустимая погрешность (MPE): ±0,02 мм (для 0,5 мм) и ±0,03 мм (для 50–150 мм).</t>
  </si>
  <si>
    <t>Наружные губки</t>
  </si>
  <si>
    <t>Внутренние губки</t>
  </si>
  <si>
    <t>Глубиномер</t>
  </si>
  <si>
    <t>14. Гиря зав.6962 50gr</t>
  </si>
  <si>
    <t xml:space="preserve">ДИ: от 50 gr,  </t>
  </si>
  <si>
    <t>ZD202603240025, 24.03.2026  "Shenzhen Zhongiidian Metrology and Testing Technology Со., Ltd."</t>
  </si>
  <si>
    <t xml:space="preserve">15.Рулетка измерительная металлическая  YT-71189 инв.№33  </t>
  </si>
  <si>
    <t>ДИ: от 0 до 5 m, КТ: 2; ПГ: ±
[0,30+0,15(L-1)] mm</t>
  </si>
  <si>
    <t>ZD202603240024, 24.03.2026  "Shenzhen Zhongiidian Metrology and Testing Technology Со., Ltd."</t>
  </si>
  <si>
    <t>16. Штангенциркуль зав.№Г987857 (24.03.2026)</t>
  </si>
  <si>
    <t>ДИ: от 0,5 до 250 mm,  ПГ: 0,05</t>
  </si>
  <si>
    <t>ZD202603240023,24.03.2026  "Shenzhen Zhongiidian Metrology and Testing Technology Со., Ltd."</t>
  </si>
  <si>
    <t>Назначение</t>
  </si>
  <si>
    <t>Единый критерий оценки соответствия результатов калибровки</t>
  </si>
  <si>
    <t>Критерий</t>
  </si>
  <si>
    <t>Соответствует, если (Отклонение + Расширенная неопределенность) &lt;= Верхний предел и (Отклонение - Расширенная неопределенность) &gt;= Нижний предел.</t>
  </si>
  <si>
    <t>Формула Excel</t>
  </si>
  <si>
    <t>Обоснование интервала</t>
  </si>
  <si>
    <t>Межкалибровочный интервал 1 год устанавливается на основании: паспорта/руководства изготовителя, анализа стабильности СИ, интенсивности эксплуатации, внутренних процедур предприятия.</t>
  </si>
  <si>
    <t>Документ для инспекции</t>
  </si>
  <si>
    <t>Рекомендуется оформить отдельный документ: Политика установления межкалибровочных интервалов средств измерений (1 год), утвержденная руководителем.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</si>
</sst>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sz val="11"/>
      <color theme="1"/>
      <name val="__Public_Sans_4eb217"/>
    </font>
    <font>
      <sz val="11"/>
      <color rgb="FF006100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</borders>
  <cellStyleXfs count="3">
    <xf numFmtId="0" fontId="0" fillId="0" borderId="0"/>
    <xf numFmtId="0" fontId="2" fillId="2" borderId="0"/>
    <xf numFmtId="0" fontId="3" fillId="3" borderId="1"/>
  </cellStyleXfs>
  <cellXfs count="19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1" fontId="0" fillId="0" borderId="0" xfId="0" applyNumberFormat="1" applyAlignment="1">
      <alignment wrapText="1"/>
    </xf>
    <xf numFmtId="11" fontId="0" fillId="0" borderId="0" xfId="0" applyNumberFormat="1"/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0" fontId="1" fillId="0" borderId="0" xfId="0" applyFont="1"/>
    <xf numFmtId="0" fontId="0" fillId="0" borderId="0" xfId="0" applyAlignment="1">
      <alignment vertical="top"/>
    </xf>
    <xf numFmtId="0" fontId="1" fillId="0" borderId="0" xfId="0" applyFont="1" applyAlignment="1">
      <alignment wrapText="1"/>
    </xf>
    <xf numFmtId="14" fontId="0" fillId="0" borderId="0" xfId="0" applyNumberFormat="1"/>
    <xf numFmtId="9" fontId="4" fillId="3" borderId="1" xfId="2" applyNumberFormat="1" applyFont="1" applyAlignment="1">
      <alignment horizontal="center" vertical="center" wrapText="1"/>
    </xf>
    <xf numFmtId="0" fontId="2" fillId="2" borderId="0" xfId="1" applyAlignment="1">
      <alignment vertical="center" wrapText="1"/>
    </xf>
    <xf numFmtId="14" fontId="0" fillId="0" borderId="0" xfId="0" applyNumberFormat="1" applyAlignment="1">
      <alignment horizontal="right" wrapText="1"/>
    </xf>
    <xf numFmtId="0" fontId="7" fillId="0" borderId="0" xfId="0" applyFont="1"/>
    <xf numFmtId="49" fontId="6" fillId="0" borderId="2" xfId="0" applyNumberFormat="1" applyFont="1" applyBorder="1" applyAlignment="1">
      <alignment horizontal="center" vertical="center"/>
    </xf>
    <xf numFmtId="0" fontId="0" fillId="0" borderId="2" xfId="0" applyBorder="1"/>
    <xf numFmtId="49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3">
    <cellStyle name="Вывод" xfId="2" builtinId="21"/>
    <cellStyle name="Обычный" xfId="0" builtinId="0"/>
    <cellStyle name="Хороший" xfId="1" builtinId="2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30" sqref="C30"/>
    </sheetView>
  </sheetViews>
  <sheetFormatPr defaultRowHeight="14.4"/>
  <cols>
    <col min="1" max="5" width="9.109375" customWidth="1"/>
    <col min="9" max="9" width="9.109375" customWidth="1"/>
    <col min="12" max="13" width="9.109375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1"/>
  <sheetViews>
    <sheetView topLeftCell="B1" zoomScale="70" zoomScaleNormal="70" workbookViewId="0">
      <selection activeCell="K20" sqref="K20"/>
    </sheetView>
  </sheetViews>
  <sheetFormatPr defaultRowHeight="14.4"/>
  <cols>
    <col min="1" max="1" width="28.6640625" customWidth="1"/>
    <col min="2" max="2" width="24.6640625" customWidth="1"/>
    <col min="3" max="3" width="31.109375" customWidth="1"/>
    <col min="4" max="4" width="17.88671875" customWidth="1"/>
    <col min="5" max="5" width="13.5546875" customWidth="1"/>
    <col min="6" max="7" width="25" customWidth="1"/>
    <col min="8" max="8" width="36.109375" customWidth="1"/>
    <col min="9" max="9" width="21.109375" customWidth="1"/>
    <col min="10" max="10" width="17.88671875" customWidth="1"/>
    <col min="11" max="11" width="31.44140625" customWidth="1"/>
    <col min="12" max="12" width="13.88671875" customWidth="1"/>
    <col min="13" max="13" width="22.109375" customWidth="1"/>
    <col min="14" max="14" width="0.5546875" hidden="1" customWidth="1"/>
    <col min="15" max="18" width="9.109375" hidden="1" customWidth="1"/>
  </cols>
  <sheetData>
    <row r="1" spans="1:18" ht="69.599999999999994" customHeight="1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7"/>
      <c r="K1" s="16"/>
      <c r="L1" s="16"/>
      <c r="M1" s="16"/>
      <c r="N1" s="16"/>
      <c r="O1" s="16"/>
      <c r="P1" s="16"/>
      <c r="Q1" s="16"/>
      <c r="R1" s="16"/>
    </row>
    <row r="2" spans="1:18" s="11" customFormat="1" ht="47.25" customHeight="1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</row>
    <row r="3" spans="1:18" s="1" customFormat="1" ht="107.25" customHeight="1">
      <c r="A3" s="12" t="s">
        <v>14</v>
      </c>
      <c r="B3" s="1" t="s">
        <v>15</v>
      </c>
      <c r="C3" s="1" t="s">
        <v>16</v>
      </c>
      <c r="D3" s="1">
        <v>0.72</v>
      </c>
      <c r="E3" s="1">
        <v>0</v>
      </c>
      <c r="F3" s="1">
        <v>2.8800000000000002E-3</v>
      </c>
      <c r="G3" s="1">
        <f t="shared" ref="G3:G11" si="0">E3-F3</f>
        <v>-2.8800000000000002E-3</v>
      </c>
      <c r="H3" s="1" t="s">
        <v>17</v>
      </c>
      <c r="I3" s="1">
        <v>3</v>
      </c>
      <c r="J3" s="1">
        <v>-3</v>
      </c>
      <c r="K3" s="1" t="str">
        <f t="shared" ref="K3:K11" si="1">IF(AND((E3+F3)&lt;=I3, (E3-F3)&gt;=J3), "соответствует", "не соответствует")</f>
        <v>соответствует</v>
      </c>
      <c r="L3" s="2">
        <v>46389</v>
      </c>
      <c r="M3" s="1" t="s">
        <v>18</v>
      </c>
    </row>
    <row r="4" spans="1:18" ht="30" customHeight="1">
      <c r="B4" s="1" t="s">
        <v>19</v>
      </c>
      <c r="D4">
        <v>1.8</v>
      </c>
      <c r="E4">
        <v>0.01</v>
      </c>
      <c r="F4" s="1">
        <v>7.1999999999999998E-3</v>
      </c>
      <c r="G4">
        <f t="shared" si="0"/>
        <v>2.8000000000000004E-3</v>
      </c>
      <c r="I4" s="1">
        <v>3</v>
      </c>
      <c r="J4" s="1">
        <v>-3</v>
      </c>
      <c r="K4" s="1" t="str">
        <f t="shared" si="1"/>
        <v>соответствует</v>
      </c>
    </row>
    <row r="5" spans="1:18">
      <c r="D5">
        <v>3.6</v>
      </c>
      <c r="E5">
        <v>0.01</v>
      </c>
      <c r="F5" s="1">
        <v>1.44E-2</v>
      </c>
      <c r="G5">
        <f t="shared" si="0"/>
        <v>-4.3999999999999994E-3</v>
      </c>
      <c r="I5" s="1">
        <v>3</v>
      </c>
      <c r="J5" s="1">
        <v>-3</v>
      </c>
      <c r="K5" s="1" t="str">
        <f t="shared" si="1"/>
        <v>соответствует</v>
      </c>
    </row>
    <row r="6" spans="1:18">
      <c r="D6">
        <v>7.2</v>
      </c>
      <c r="E6">
        <v>-0.01</v>
      </c>
      <c r="F6" s="1">
        <v>2.8799999999999999E-2</v>
      </c>
      <c r="G6">
        <f t="shared" si="0"/>
        <v>-3.8800000000000001E-2</v>
      </c>
      <c r="I6" s="1">
        <v>3</v>
      </c>
      <c r="J6" s="1">
        <v>-3</v>
      </c>
      <c r="K6" s="1" t="str">
        <f t="shared" si="1"/>
        <v>соответствует</v>
      </c>
    </row>
    <row r="7" spans="1:18">
      <c r="C7" t="s">
        <v>20</v>
      </c>
      <c r="D7">
        <v>18</v>
      </c>
      <c r="E7">
        <v>0</v>
      </c>
      <c r="F7" s="1">
        <v>7.1999999999999995E-2</v>
      </c>
      <c r="G7">
        <f t="shared" si="0"/>
        <v>-7.1999999999999995E-2</v>
      </c>
      <c r="I7" s="1">
        <v>3</v>
      </c>
      <c r="J7" s="1">
        <v>-3</v>
      </c>
      <c r="K7" s="1" t="str">
        <f t="shared" si="1"/>
        <v>соответствует</v>
      </c>
    </row>
    <row r="8" spans="1:18">
      <c r="D8">
        <v>25.2</v>
      </c>
      <c r="E8">
        <v>0.02</v>
      </c>
      <c r="F8" s="1">
        <v>0.1008</v>
      </c>
      <c r="G8">
        <f t="shared" si="0"/>
        <v>-8.0799999999999997E-2</v>
      </c>
      <c r="I8" s="1">
        <v>3</v>
      </c>
      <c r="J8" s="1">
        <v>-3</v>
      </c>
      <c r="K8" s="1" t="str">
        <f t="shared" si="1"/>
        <v>соответствует</v>
      </c>
    </row>
    <row r="9" spans="1:18">
      <c r="D9">
        <v>54</v>
      </c>
      <c r="E9">
        <v>0.1</v>
      </c>
      <c r="F9" s="1">
        <v>0.216</v>
      </c>
      <c r="G9">
        <f t="shared" si="0"/>
        <v>-0.11599999999999999</v>
      </c>
      <c r="I9" s="1">
        <v>3</v>
      </c>
      <c r="J9" s="1">
        <v>-3</v>
      </c>
      <c r="K9" s="1" t="str">
        <f t="shared" si="1"/>
        <v>соответствует</v>
      </c>
    </row>
    <row r="10" spans="1:18">
      <c r="D10">
        <v>108</v>
      </c>
      <c r="E10">
        <v>0.1</v>
      </c>
      <c r="F10" s="1">
        <v>0.432</v>
      </c>
      <c r="G10">
        <f t="shared" si="0"/>
        <v>-0.33199999999999996</v>
      </c>
      <c r="I10" s="1">
        <v>3</v>
      </c>
      <c r="J10" s="1">
        <v>-3</v>
      </c>
      <c r="K10" s="1" t="str">
        <f t="shared" si="1"/>
        <v>соответствует</v>
      </c>
    </row>
    <row r="11" spans="1:18">
      <c r="D11">
        <v>180</v>
      </c>
      <c r="E11">
        <v>0.2</v>
      </c>
      <c r="F11" s="1">
        <v>0.72</v>
      </c>
      <c r="G11">
        <f t="shared" si="0"/>
        <v>-0.52</v>
      </c>
      <c r="I11" s="1">
        <v>3</v>
      </c>
      <c r="J11" s="1">
        <v>-3</v>
      </c>
      <c r="K11" s="1" t="str">
        <f t="shared" si="1"/>
        <v>соответствует</v>
      </c>
    </row>
    <row r="12" spans="1:18">
      <c r="F12" s="1"/>
      <c r="I12" s="1"/>
      <c r="J12" s="1"/>
      <c r="K12" s="1"/>
    </row>
    <row r="13" spans="1:18">
      <c r="D13">
        <v>1</v>
      </c>
      <c r="E13">
        <v>0</v>
      </c>
      <c r="F13" s="1">
        <v>1.6000000000000001E-3</v>
      </c>
      <c r="G13">
        <f>E13-F13</f>
        <v>-1.6000000000000001E-3</v>
      </c>
      <c r="I13" s="1">
        <v>0.5</v>
      </c>
      <c r="J13" s="1">
        <v>-0.5</v>
      </c>
      <c r="K13" s="1" t="str">
        <f>IF(AND((E13+F13)&lt;=I13,(E13-F13)&gt;=J13),"соответствует","не соответствует")</f>
        <v>соответствует</v>
      </c>
    </row>
    <row r="14" spans="1:18">
      <c r="D14">
        <v>5</v>
      </c>
      <c r="E14">
        <v>0</v>
      </c>
      <c r="F14" s="1">
        <v>8.0000000000000002E-3</v>
      </c>
      <c r="G14">
        <f>E14-F14</f>
        <v>-8.0000000000000002E-3</v>
      </c>
      <c r="I14" s="1">
        <v>0.5</v>
      </c>
      <c r="J14" s="1">
        <v>-0.5</v>
      </c>
      <c r="K14" s="1" t="str">
        <f>IF(AND((E14+F14)&lt;=I14,(E14-F14)&gt;=J14),"соответствует","не соответствует")</f>
        <v>соответствует</v>
      </c>
    </row>
    <row r="15" spans="1:18">
      <c r="C15" t="s">
        <v>21</v>
      </c>
      <c r="D15">
        <v>20</v>
      </c>
      <c r="E15">
        <v>0</v>
      </c>
      <c r="F15" s="1">
        <v>3.2000000000000001E-2</v>
      </c>
      <c r="G15">
        <f>E15-F15</f>
        <v>-3.2000000000000001E-2</v>
      </c>
      <c r="I15" s="1">
        <v>0.5</v>
      </c>
      <c r="J15" s="1">
        <v>-0.5</v>
      </c>
      <c r="K15" s="1" t="str">
        <f>IF(AND((E15+F15)&lt;=I15,(E15-F15)&gt;=J15),"соответствует","не соответствует")</f>
        <v>соответствует</v>
      </c>
    </row>
    <row r="16" spans="1:18">
      <c r="D16">
        <v>100</v>
      </c>
      <c r="E16">
        <v>0.1</v>
      </c>
      <c r="F16" s="1">
        <v>0.16</v>
      </c>
      <c r="G16">
        <f>E16-F16</f>
        <v>-0.06</v>
      </c>
      <c r="I16" s="1">
        <v>0.5</v>
      </c>
      <c r="J16" s="1">
        <v>-0.5</v>
      </c>
      <c r="K16" s="1" t="str">
        <f>IF(AND((E16+F16)&lt;=I16,(E16-F16)&gt;=J16),"соответствует","не соответствует")</f>
        <v>соответствует</v>
      </c>
    </row>
    <row r="17" spans="1:13">
      <c r="D17">
        <v>200</v>
      </c>
      <c r="E17">
        <v>0.1</v>
      </c>
      <c r="F17" s="1">
        <v>0.32</v>
      </c>
      <c r="G17">
        <f>E17-F17</f>
        <v>-0.22</v>
      </c>
      <c r="I17" s="1">
        <v>0.5</v>
      </c>
      <c r="J17" s="1">
        <v>-0.5</v>
      </c>
      <c r="K17" s="1" t="str">
        <f>IF(AND((E17+F17)&lt;=I17,(E17-F17)&gt;=J17),"соответствует","не соответствует")</f>
        <v>соответствует</v>
      </c>
      <c r="M17" s="1"/>
    </row>
    <row r="18" spans="1:13">
      <c r="M18" s="1"/>
    </row>
    <row r="19" spans="1:13" s="1" customFormat="1" ht="60" customHeight="1">
      <c r="A19" s="12" t="s">
        <v>22</v>
      </c>
      <c r="B19" s="1" t="s">
        <v>23</v>
      </c>
      <c r="C19" s="1" t="s">
        <v>24</v>
      </c>
      <c r="D19" s="1">
        <v>5</v>
      </c>
      <c r="E19" s="1">
        <v>1.1000000000000001</v>
      </c>
      <c r="F19" s="1">
        <v>0.09</v>
      </c>
      <c r="G19" s="1">
        <f>E19-F19</f>
        <v>1.01</v>
      </c>
      <c r="H19" s="1" t="s">
        <v>25</v>
      </c>
      <c r="I19" s="1">
        <f>E19+F19</f>
        <v>1.1900000000000002</v>
      </c>
      <c r="J19" s="1">
        <f>E19-F19</f>
        <v>1.01</v>
      </c>
      <c r="K19" s="1" t="str">
        <f>IF(AND((E19+F19)&lt;=I19,(E19-F19)&gt;=J19),"соответствует","не соответствует")</f>
        <v>соответствует</v>
      </c>
      <c r="L19" s="2">
        <v>46401</v>
      </c>
    </row>
    <row r="20" spans="1:13">
      <c r="F20" s="1"/>
      <c r="I20" s="1"/>
      <c r="J20" s="1"/>
    </row>
    <row r="21" spans="1:13">
      <c r="F21" s="1"/>
      <c r="I21" s="1"/>
      <c r="J21" s="1"/>
    </row>
    <row r="22" spans="1:13">
      <c r="F22" s="1"/>
      <c r="I22" s="1"/>
      <c r="J22" s="1"/>
    </row>
    <row r="23" spans="1:13">
      <c r="F23" s="1"/>
      <c r="I23" s="1"/>
      <c r="J23" s="1"/>
    </row>
    <row r="26" spans="1:13" ht="60" customHeight="1">
      <c r="A26" s="12" t="s">
        <v>26</v>
      </c>
      <c r="B26" s="1" t="s">
        <v>27</v>
      </c>
      <c r="C26" s="1" t="s">
        <v>28</v>
      </c>
      <c r="D26" s="1">
        <v>7.8</v>
      </c>
      <c r="E26" s="1">
        <v>0</v>
      </c>
      <c r="F26" s="1">
        <v>0.06</v>
      </c>
      <c r="G26" s="1">
        <f>E26-F26</f>
        <v>-0.06</v>
      </c>
      <c r="H26" s="1" t="s">
        <v>29</v>
      </c>
      <c r="I26" s="1">
        <f>E26+F26</f>
        <v>0.06</v>
      </c>
      <c r="J26" s="1">
        <f>E26-F26</f>
        <v>-0.06</v>
      </c>
      <c r="K26" s="1" t="str">
        <f>IF(AND((E26+F26)&lt;=I26,(E26-F26)&gt;=J26),"соответствует","не соответствует")</f>
        <v>соответствует</v>
      </c>
      <c r="L26" s="2">
        <v>46406</v>
      </c>
    </row>
    <row r="27" spans="1:13">
      <c r="A27" s="1"/>
      <c r="B27" s="1"/>
      <c r="C27" s="1"/>
      <c r="D27" s="1">
        <v>21.2</v>
      </c>
      <c r="E27" s="1">
        <v>0.1</v>
      </c>
      <c r="F27" s="1">
        <v>0.06</v>
      </c>
      <c r="G27" s="1">
        <f>E27-F27</f>
        <v>4.0000000000000008E-2</v>
      </c>
      <c r="H27" s="1"/>
      <c r="I27" s="1">
        <f>E27+F27</f>
        <v>0.16</v>
      </c>
      <c r="J27" s="1">
        <f>E27-F27</f>
        <v>4.0000000000000008E-2</v>
      </c>
      <c r="K27" s="1" t="str">
        <f>IF(AND((E27+F27)&lt;=I27,(E27-F27)&gt;=J27),"соответствует","не соответствует")</f>
        <v>соответствует</v>
      </c>
      <c r="L27" s="2"/>
    </row>
    <row r="28" spans="1:13">
      <c r="A28" s="1"/>
      <c r="B28" s="1"/>
      <c r="C28" s="1"/>
      <c r="D28" s="1">
        <v>57.5</v>
      </c>
      <c r="E28" s="1">
        <v>0.2</v>
      </c>
      <c r="F28" s="1">
        <v>0.06</v>
      </c>
      <c r="G28" s="1">
        <f>E28-F28</f>
        <v>0.14000000000000001</v>
      </c>
      <c r="H28" s="1"/>
      <c r="I28" s="1">
        <f>E28+F28</f>
        <v>0.26</v>
      </c>
      <c r="J28" s="1">
        <f>E28-F28</f>
        <v>0.14000000000000001</v>
      </c>
      <c r="K28" s="1" t="str">
        <f>IF(AND((E28+F28)&lt;=I28,(E28-F28)&gt;=J28),"соответствует","не соответствует")</f>
        <v>соответствует</v>
      </c>
      <c r="L28" s="2"/>
    </row>
    <row r="29" spans="1:13">
      <c r="A29" s="1"/>
      <c r="B29" s="1"/>
      <c r="C29" s="1"/>
      <c r="D29" s="1">
        <v>81.2</v>
      </c>
      <c r="E29" s="1">
        <v>0.2</v>
      </c>
      <c r="F29" s="1">
        <v>0.06</v>
      </c>
      <c r="G29" s="1">
        <f>E29-F29</f>
        <v>0.14000000000000001</v>
      </c>
      <c r="H29" s="1"/>
      <c r="I29" s="1">
        <f>E29+F29</f>
        <v>0.26</v>
      </c>
      <c r="J29" s="1">
        <f>E29-F29</f>
        <v>0.14000000000000001</v>
      </c>
      <c r="K29" s="1" t="str">
        <f>IF(AND((E29+F29)&lt;=I29,(E29-F29)&gt;=J29),"соответствует","не соответствует")</f>
        <v>соответствует</v>
      </c>
      <c r="L29" s="2"/>
    </row>
    <row r="30" spans="1:1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2"/>
    </row>
    <row r="31" spans="1:1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2"/>
    </row>
    <row r="32" spans="1:1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2"/>
    </row>
    <row r="33" spans="1:12">
      <c r="F33" s="1"/>
      <c r="I33" s="1"/>
      <c r="J33" s="1"/>
    </row>
    <row r="34" spans="1:12" ht="90" customHeight="1">
      <c r="A34" s="12" t="s">
        <v>30</v>
      </c>
      <c r="B34" s="1" t="s">
        <v>31</v>
      </c>
      <c r="C34" s="1" t="s">
        <v>32</v>
      </c>
      <c r="D34" s="1">
        <v>40</v>
      </c>
      <c r="E34" s="1">
        <v>-1</v>
      </c>
      <c r="F34" s="1">
        <v>2</v>
      </c>
      <c r="G34" s="1">
        <f>E34-F34</f>
        <v>-3</v>
      </c>
      <c r="H34" s="1" t="s">
        <v>33</v>
      </c>
      <c r="I34" s="1">
        <v>5</v>
      </c>
      <c r="J34" s="1">
        <v>-5</v>
      </c>
      <c r="K34" s="1" t="str">
        <f>IF(AND((E34+F34)&lt;=I34,(E34-F34)&gt;=J34),"соответствует","не соответствует")</f>
        <v>соответствует</v>
      </c>
      <c r="L34" s="2">
        <v>46470</v>
      </c>
    </row>
    <row r="35" spans="1:12">
      <c r="D35">
        <v>60</v>
      </c>
      <c r="E35">
        <v>-1</v>
      </c>
      <c r="F35" s="1">
        <v>2</v>
      </c>
      <c r="G35" s="1">
        <f>E35-F35</f>
        <v>-3</v>
      </c>
      <c r="I35" s="1">
        <v>5</v>
      </c>
      <c r="J35" s="1">
        <v>-5</v>
      </c>
      <c r="K35" s="1" t="str">
        <f>IF(AND((E35+F35)&lt;=I35,(E35-F35)&gt;=J35),"соответствует","не соответствует")</f>
        <v>соответствует</v>
      </c>
    </row>
    <row r="36" spans="1:12">
      <c r="D36">
        <v>80</v>
      </c>
      <c r="E36">
        <v>-2</v>
      </c>
      <c r="F36" s="1">
        <v>2</v>
      </c>
      <c r="G36" s="1">
        <f>E36-F36</f>
        <v>-4</v>
      </c>
      <c r="I36" s="1">
        <v>7</v>
      </c>
      <c r="J36" s="1">
        <v>-7</v>
      </c>
      <c r="K36" s="1" t="str">
        <f>IF(AND((E36+F36)&lt;=I36,(E36-F36)&gt;=J36),"соответствует","не соответствует")</f>
        <v>соответствует</v>
      </c>
    </row>
    <row r="37" spans="1:12">
      <c r="F37" s="1"/>
      <c r="G37" s="4"/>
      <c r="I37" s="3"/>
      <c r="J37" s="3"/>
    </row>
    <row r="38" spans="1:12">
      <c r="D38">
        <v>15</v>
      </c>
      <c r="E38">
        <v>0.7</v>
      </c>
      <c r="F38" s="1">
        <v>0.5</v>
      </c>
      <c r="G38" s="1">
        <f>E38-F38</f>
        <v>0.19999999999999996</v>
      </c>
      <c r="H38" s="1"/>
      <c r="I38" s="1">
        <v>2</v>
      </c>
      <c r="J38" s="1">
        <v>-2</v>
      </c>
      <c r="K38" s="1" t="str">
        <f>IF(AND((E38+F38)&lt;=I38,(E38-F38)&gt;=J38),"соответствует","не соответствует")</f>
        <v>соответствует</v>
      </c>
    </row>
    <row r="39" spans="1:12">
      <c r="D39">
        <v>20</v>
      </c>
      <c r="E39">
        <v>0.4</v>
      </c>
      <c r="F39" s="1">
        <v>0.5</v>
      </c>
      <c r="G39" s="1">
        <f>E39-F39</f>
        <v>-9.9999999999999978E-2</v>
      </c>
      <c r="H39" s="1"/>
      <c r="I39" s="1">
        <v>2</v>
      </c>
      <c r="J39" s="1">
        <v>-2</v>
      </c>
      <c r="K39" s="1" t="str">
        <f>IF(AND((E39+F39)&lt;=I39,(E39-F39)&gt;=J39),"соответствует","не соответствует")</f>
        <v>соответствует</v>
      </c>
    </row>
    <row r="40" spans="1:12">
      <c r="D40">
        <v>30</v>
      </c>
      <c r="E40">
        <v>0.5</v>
      </c>
      <c r="F40" s="1">
        <v>0.5</v>
      </c>
      <c r="G40" s="1">
        <f>E40-F40</f>
        <v>0</v>
      </c>
      <c r="H40" s="1"/>
      <c r="I40" s="1">
        <v>2</v>
      </c>
      <c r="J40" s="1">
        <v>-2</v>
      </c>
      <c r="K40" s="1" t="str">
        <f>IF(AND((E40+F40)&lt;=I40,(E40-F40)&gt;=J40),"соответствует","не соответствует")</f>
        <v>соответствует</v>
      </c>
    </row>
    <row r="41" spans="1:12">
      <c r="F41" s="4"/>
      <c r="G41" s="4"/>
      <c r="I41" s="3"/>
      <c r="J41" s="3"/>
    </row>
    <row r="42" spans="1:12">
      <c r="F42" s="4"/>
      <c r="G42" s="4"/>
      <c r="I42" s="3"/>
      <c r="J42" s="3"/>
    </row>
    <row r="43" spans="1:12">
      <c r="F43" s="4"/>
      <c r="G43" s="4"/>
      <c r="I43" s="3"/>
      <c r="J43" s="3"/>
    </row>
    <row r="44" spans="1:12">
      <c r="F44" s="4"/>
      <c r="G44" s="4"/>
      <c r="I44" s="3"/>
      <c r="J44" s="3"/>
    </row>
    <row r="46" spans="1:12" ht="60" customHeight="1">
      <c r="A46" s="12" t="s">
        <v>34</v>
      </c>
      <c r="B46" s="1" t="s">
        <v>35</v>
      </c>
      <c r="C46" s="1" t="s">
        <v>36</v>
      </c>
      <c r="D46" s="1">
        <v>5</v>
      </c>
      <c r="E46" s="1">
        <v>0</v>
      </c>
      <c r="F46" s="1">
        <v>0.02</v>
      </c>
      <c r="G46" s="1">
        <f>E46-F46</f>
        <v>-0.02</v>
      </c>
      <c r="H46" s="1" t="s">
        <v>37</v>
      </c>
      <c r="I46" s="1">
        <v>0.05</v>
      </c>
      <c r="J46" s="1">
        <v>-0.05</v>
      </c>
      <c r="K46" s="1" t="str">
        <f>IF(AND((E46+F46)&lt;=I46,(E46-F46)&gt;=J46),"соответствует","не соответствует")</f>
        <v>соответствует</v>
      </c>
      <c r="L46" s="2">
        <v>45975</v>
      </c>
    </row>
    <row r="47" spans="1:12">
      <c r="D47">
        <v>60</v>
      </c>
      <c r="E47" s="1">
        <v>0</v>
      </c>
      <c r="F47" s="1">
        <v>0.02</v>
      </c>
      <c r="G47">
        <f>E47-F47</f>
        <v>-0.02</v>
      </c>
      <c r="I47" s="1">
        <v>0.05</v>
      </c>
      <c r="J47" s="1">
        <v>-0.05</v>
      </c>
      <c r="K47" s="1" t="str">
        <f>IF(AND((E47+F47)&lt;=I47,(E47-F47)&gt;=J47),"соответствует","не соответствует")</f>
        <v>соответствует</v>
      </c>
    </row>
    <row r="48" spans="1:12">
      <c r="D48">
        <v>180</v>
      </c>
      <c r="E48" s="1">
        <v>0</v>
      </c>
      <c r="F48" s="1">
        <v>0.02</v>
      </c>
      <c r="G48">
        <f>E48-F48</f>
        <v>-0.02</v>
      </c>
      <c r="I48" s="1">
        <v>0.05</v>
      </c>
      <c r="J48" s="1">
        <v>-0.05</v>
      </c>
      <c r="K48" s="1" t="str">
        <f>IF(AND((E48+F48)&lt;=I48,(E48-F48)&gt;=J48),"соответствует","не соответствует")</f>
        <v>соответствует</v>
      </c>
    </row>
    <row r="49" spans="1:12">
      <c r="D49">
        <v>1800</v>
      </c>
      <c r="E49" s="1">
        <v>0.02</v>
      </c>
      <c r="F49" s="1">
        <v>0.02</v>
      </c>
      <c r="G49">
        <f>E49-F49</f>
        <v>0</v>
      </c>
      <c r="I49" s="1">
        <v>7.0000000000000007E-2</v>
      </c>
      <c r="J49" s="1">
        <v>-7.0000000000000007E-2</v>
      </c>
      <c r="K49" s="1" t="str">
        <f>IF(AND((E49+F49)&lt;=I49,(E49-F49)&gt;=J49),"соответствует","не соответствует")</f>
        <v>соответствует</v>
      </c>
    </row>
    <row r="50" spans="1:12">
      <c r="D50">
        <v>3600</v>
      </c>
      <c r="E50" s="1">
        <v>0.02</v>
      </c>
      <c r="F50" s="1">
        <v>0.02</v>
      </c>
      <c r="G50">
        <f>E50-F50</f>
        <v>0</v>
      </c>
      <c r="I50" s="1">
        <v>0.1</v>
      </c>
      <c r="J50" s="1">
        <v>-0.1</v>
      </c>
      <c r="K50" s="1" t="str">
        <f>IF(AND((E50+F50)&lt;=I50,(E50-F50)&gt;=J50),"соответствует","не соответствует")</f>
        <v>соответствует</v>
      </c>
    </row>
    <row r="52" spans="1:12" ht="120" customHeight="1">
      <c r="A52" s="12" t="s">
        <v>38</v>
      </c>
      <c r="B52" s="1" t="s">
        <v>39</v>
      </c>
      <c r="C52" s="1" t="s">
        <v>40</v>
      </c>
      <c r="D52" s="1">
        <v>6.02</v>
      </c>
      <c r="E52" s="1">
        <v>0.13</v>
      </c>
      <c r="F52" s="1">
        <v>0.15</v>
      </c>
      <c r="G52" s="1">
        <f t="shared" ref="G52:G63" si="2">E52-F52</f>
        <v>-1.999999999999999E-2</v>
      </c>
      <c r="H52" s="1" t="s">
        <v>41</v>
      </c>
      <c r="I52" s="1">
        <f t="shared" ref="I52:I63" si="3">E52+F52</f>
        <v>0.28000000000000003</v>
      </c>
      <c r="J52" s="1">
        <f t="shared" ref="J52:J63" si="4">E52-F52</f>
        <v>-1.999999999999999E-2</v>
      </c>
      <c r="K52" s="1" t="str">
        <f t="shared" ref="K52:K63" si="5">IF(AND(E52&lt;=I52,E52&gt;=J52),"соответствует","не соответствует")</f>
        <v>соответствует</v>
      </c>
      <c r="L52" s="13" t="s">
        <v>42</v>
      </c>
    </row>
    <row r="53" spans="1:12">
      <c r="D53">
        <v>15.9</v>
      </c>
      <c r="E53">
        <v>0</v>
      </c>
      <c r="F53">
        <v>0.41</v>
      </c>
      <c r="G53">
        <f t="shared" si="2"/>
        <v>-0.41</v>
      </c>
      <c r="I53" s="1">
        <f t="shared" si="3"/>
        <v>0.41</v>
      </c>
      <c r="J53" s="1">
        <f t="shared" si="4"/>
        <v>-0.41</v>
      </c>
      <c r="K53" s="1" t="str">
        <f t="shared" si="5"/>
        <v>соответствует</v>
      </c>
    </row>
    <row r="54" spans="1:12">
      <c r="C54" s="6" t="s">
        <v>43</v>
      </c>
      <c r="D54">
        <v>24.1</v>
      </c>
      <c r="E54">
        <v>-0.1</v>
      </c>
      <c r="F54">
        <v>0.62</v>
      </c>
      <c r="G54">
        <f t="shared" si="2"/>
        <v>-0.72</v>
      </c>
      <c r="I54" s="1">
        <f t="shared" si="3"/>
        <v>0.52</v>
      </c>
      <c r="J54" s="1">
        <f t="shared" si="4"/>
        <v>-0.72</v>
      </c>
      <c r="K54" s="1" t="str">
        <f t="shared" si="5"/>
        <v>соответствует</v>
      </c>
    </row>
    <row r="55" spans="1:12">
      <c r="D55">
        <v>19.8</v>
      </c>
      <c r="E55">
        <v>0.3</v>
      </c>
      <c r="F55">
        <v>0.39600000000000002</v>
      </c>
      <c r="G55">
        <f t="shared" si="2"/>
        <v>-9.600000000000003E-2</v>
      </c>
      <c r="I55" s="1">
        <f t="shared" si="3"/>
        <v>0.69599999999999995</v>
      </c>
      <c r="J55" s="1">
        <f t="shared" si="4"/>
        <v>-9.600000000000003E-2</v>
      </c>
      <c r="K55" s="1" t="str">
        <f t="shared" si="5"/>
        <v>соответствует</v>
      </c>
    </row>
    <row r="56" spans="1:12">
      <c r="C56" s="6" t="s">
        <v>44</v>
      </c>
      <c r="D56">
        <v>49.9</v>
      </c>
      <c r="E56">
        <v>0.2</v>
      </c>
      <c r="F56">
        <v>0.998</v>
      </c>
      <c r="G56">
        <f t="shared" si="2"/>
        <v>-0.79800000000000004</v>
      </c>
      <c r="I56" s="1">
        <f t="shared" si="3"/>
        <v>1.198</v>
      </c>
      <c r="J56" s="1">
        <f t="shared" si="4"/>
        <v>-0.79800000000000004</v>
      </c>
      <c r="K56" s="1" t="str">
        <f t="shared" si="5"/>
        <v>соответствует</v>
      </c>
    </row>
    <row r="57" spans="1:12">
      <c r="D57">
        <v>61.1</v>
      </c>
      <c r="E57">
        <v>-0.5</v>
      </c>
      <c r="F57">
        <v>1.22</v>
      </c>
      <c r="G57">
        <f t="shared" si="2"/>
        <v>-1.72</v>
      </c>
      <c r="I57" s="1">
        <f t="shared" si="3"/>
        <v>0.72</v>
      </c>
      <c r="J57" s="1">
        <f t="shared" si="4"/>
        <v>-1.72</v>
      </c>
      <c r="K57" s="1" t="str">
        <f t="shared" si="5"/>
        <v>соответствует</v>
      </c>
    </row>
    <row r="58" spans="1:12">
      <c r="C58" s="6"/>
      <c r="D58">
        <v>39.700000000000003</v>
      </c>
      <c r="E58">
        <v>-0.4</v>
      </c>
      <c r="F58">
        <v>0.71</v>
      </c>
      <c r="G58">
        <f t="shared" si="2"/>
        <v>-1.1099999999999999</v>
      </c>
      <c r="I58" s="1">
        <f t="shared" si="3"/>
        <v>0.30999999999999994</v>
      </c>
      <c r="J58" s="1">
        <f t="shared" si="4"/>
        <v>-1.1099999999999999</v>
      </c>
      <c r="K58" s="1" t="str">
        <f t="shared" si="5"/>
        <v>соответствует</v>
      </c>
    </row>
    <row r="59" spans="1:12">
      <c r="C59" s="6" t="s">
        <v>45</v>
      </c>
      <c r="D59">
        <v>249.6</v>
      </c>
      <c r="E59">
        <v>1.7</v>
      </c>
      <c r="F59">
        <v>4.49</v>
      </c>
      <c r="G59">
        <f t="shared" si="2"/>
        <v>-2.79</v>
      </c>
      <c r="I59" s="1">
        <f t="shared" si="3"/>
        <v>6.19</v>
      </c>
      <c r="J59" s="1">
        <f t="shared" si="4"/>
        <v>-2.79</v>
      </c>
      <c r="K59" s="1" t="str">
        <f t="shared" si="5"/>
        <v>соответствует</v>
      </c>
    </row>
    <row r="60" spans="1:12">
      <c r="D60">
        <v>351.2</v>
      </c>
      <c r="E60">
        <v>-3.2</v>
      </c>
      <c r="F60">
        <v>6.32</v>
      </c>
      <c r="G60">
        <f t="shared" si="2"/>
        <v>-9.52</v>
      </c>
      <c r="I60" s="1">
        <f t="shared" si="3"/>
        <v>3.12</v>
      </c>
      <c r="J60" s="1">
        <f t="shared" si="4"/>
        <v>-9.52</v>
      </c>
      <c r="K60" s="1" t="str">
        <f t="shared" si="5"/>
        <v>соответствует</v>
      </c>
    </row>
    <row r="61" spans="1:12" ht="14.25" customHeight="1">
      <c r="D61">
        <v>49.9</v>
      </c>
      <c r="E61">
        <v>0.6</v>
      </c>
      <c r="F61">
        <v>0.59</v>
      </c>
      <c r="G61">
        <f t="shared" si="2"/>
        <v>1.0000000000000009E-2</v>
      </c>
      <c r="I61" s="1">
        <f t="shared" si="3"/>
        <v>1.19</v>
      </c>
      <c r="J61" s="1">
        <f t="shared" si="4"/>
        <v>1.0000000000000009E-2</v>
      </c>
      <c r="K61" s="1" t="str">
        <f t="shared" si="5"/>
        <v>соответствует</v>
      </c>
    </row>
    <row r="62" spans="1:12" ht="14.25" customHeight="1">
      <c r="C62" s="6" t="s">
        <v>46</v>
      </c>
      <c r="D62">
        <v>99.8</v>
      </c>
      <c r="E62">
        <v>1.3</v>
      </c>
      <c r="F62">
        <v>1.19</v>
      </c>
      <c r="G62">
        <f t="shared" si="2"/>
        <v>0.1100000000000001</v>
      </c>
      <c r="I62" s="1">
        <f t="shared" si="3"/>
        <v>2.4900000000000002</v>
      </c>
      <c r="J62" s="1">
        <f t="shared" si="4"/>
        <v>0.1100000000000001</v>
      </c>
      <c r="K62" s="1" t="str">
        <f t="shared" si="5"/>
        <v>соответствует</v>
      </c>
    </row>
    <row r="63" spans="1:12" ht="14.25" customHeight="1">
      <c r="D63">
        <v>199.6</v>
      </c>
      <c r="E63">
        <v>0.4</v>
      </c>
      <c r="F63">
        <v>2.39</v>
      </c>
      <c r="G63">
        <f t="shared" si="2"/>
        <v>-1.9900000000000002</v>
      </c>
      <c r="I63" s="1">
        <f t="shared" si="3"/>
        <v>2.79</v>
      </c>
      <c r="J63" s="1">
        <f t="shared" si="4"/>
        <v>-1.9900000000000002</v>
      </c>
      <c r="K63" s="1" t="str">
        <f t="shared" si="5"/>
        <v>соответствует</v>
      </c>
    </row>
    <row r="64" spans="1:12" ht="14.25" customHeight="1">
      <c r="I64" s="1"/>
      <c r="J64" s="1"/>
    </row>
    <row r="65" spans="1:12" ht="14.25" customHeight="1">
      <c r="I65" s="1"/>
      <c r="J65" s="1"/>
    </row>
    <row r="66" spans="1:12">
      <c r="F66" s="1"/>
      <c r="I66" s="1"/>
      <c r="J66" s="1"/>
    </row>
    <row r="67" spans="1:12" ht="60" customHeight="1">
      <c r="A67" s="12" t="s">
        <v>47</v>
      </c>
      <c r="B67" s="1" t="s">
        <v>48</v>
      </c>
      <c r="C67" s="1" t="s">
        <v>49</v>
      </c>
      <c r="D67" s="1">
        <v>200</v>
      </c>
      <c r="E67" s="1">
        <v>0.01</v>
      </c>
      <c r="F67" s="1">
        <v>0.05</v>
      </c>
      <c r="G67" s="1">
        <f>E67-F67</f>
        <v>-0.04</v>
      </c>
      <c r="H67" s="1" t="s">
        <v>50</v>
      </c>
      <c r="I67" s="3">
        <f>E67+F67</f>
        <v>6.0000000000000005E-2</v>
      </c>
      <c r="J67" s="3">
        <f>E67-F67</f>
        <v>-0.04</v>
      </c>
      <c r="K67" s="1" t="str">
        <f>IF(AND(E67&lt;=I67,E67&gt;=J67),"соответствует","не соответствует")</f>
        <v>соответствует</v>
      </c>
      <c r="L67" s="2">
        <v>46470</v>
      </c>
    </row>
    <row r="68" spans="1:12">
      <c r="D68">
        <v>500</v>
      </c>
      <c r="E68">
        <v>-0.02</v>
      </c>
      <c r="F68" s="1">
        <v>0.05</v>
      </c>
      <c r="G68">
        <f>E68-F68</f>
        <v>-7.0000000000000007E-2</v>
      </c>
      <c r="I68" s="3">
        <f>E68+F68</f>
        <v>3.0000000000000002E-2</v>
      </c>
      <c r="J68" s="3">
        <f>E68-F68</f>
        <v>-7.0000000000000007E-2</v>
      </c>
      <c r="K68" s="1" t="str">
        <f>IF(AND(E68&lt;=I68,E68&gt;=J68),"соответствует","не соответствует")</f>
        <v>соответствует</v>
      </c>
    </row>
    <row r="69" spans="1:12">
      <c r="D69">
        <v>600</v>
      </c>
      <c r="E69">
        <v>-0.04</v>
      </c>
      <c r="F69" s="1">
        <v>0.05</v>
      </c>
      <c r="G69">
        <f>E69-F69</f>
        <v>-0.09</v>
      </c>
      <c r="I69" s="3">
        <f>E69+F69</f>
        <v>1.0000000000000002E-2</v>
      </c>
      <c r="J69" s="3">
        <f>E69-F69</f>
        <v>-0.09</v>
      </c>
      <c r="K69" s="1" t="str">
        <f>IF(AND(E69&lt;=I69,E69&gt;=J69),"соответствует","не соответствует")</f>
        <v>соответствует</v>
      </c>
    </row>
    <row r="70" spans="1:12">
      <c r="D70">
        <v>800</v>
      </c>
      <c r="E70">
        <v>0.02</v>
      </c>
      <c r="F70" s="1">
        <v>0.05</v>
      </c>
      <c r="G70">
        <f>E70-F70</f>
        <v>-3.0000000000000002E-2</v>
      </c>
      <c r="I70" s="3">
        <f>E70+F70</f>
        <v>7.0000000000000007E-2</v>
      </c>
      <c r="J70" s="3">
        <f>E70-F70</f>
        <v>-3.0000000000000002E-2</v>
      </c>
      <c r="K70" s="1" t="str">
        <f>IF(AND(E70&lt;=I70,E70&gt;=J70),"соответствует","не соответствует")</f>
        <v>соответствует</v>
      </c>
    </row>
    <row r="71" spans="1:12">
      <c r="D71">
        <v>1000</v>
      </c>
      <c r="E71">
        <v>-0.06</v>
      </c>
      <c r="F71" s="1">
        <v>0.05</v>
      </c>
      <c r="G71">
        <f>E71-F71</f>
        <v>-0.11</v>
      </c>
      <c r="I71" s="3">
        <f>E71+F71</f>
        <v>-9.999999999999995E-3</v>
      </c>
      <c r="J71" s="3">
        <f>E71-F71</f>
        <v>-0.11</v>
      </c>
      <c r="K71" s="1" t="str">
        <f>IF(AND(E71&lt;=I71,E71&gt;=J71),"соответствует","не соответствует")</f>
        <v>соответствует</v>
      </c>
    </row>
    <row r="72" spans="1:12">
      <c r="F72" s="1"/>
      <c r="I72" s="1"/>
      <c r="J72" s="1"/>
    </row>
    <row r="73" spans="1:12" ht="60" customHeight="1">
      <c r="A73" s="12" t="s">
        <v>51</v>
      </c>
      <c r="B73" s="1" t="s">
        <v>52</v>
      </c>
      <c r="C73" s="1" t="s">
        <v>53</v>
      </c>
      <c r="D73" s="1">
        <v>50</v>
      </c>
      <c r="E73">
        <v>0.02</v>
      </c>
      <c r="F73">
        <v>0.05</v>
      </c>
      <c r="G73">
        <f>E73-F73</f>
        <v>-3.0000000000000002E-2</v>
      </c>
      <c r="H73" s="1" t="s">
        <v>54</v>
      </c>
      <c r="I73">
        <f>E73+F73</f>
        <v>7.0000000000000007E-2</v>
      </c>
      <c r="J73">
        <f>E73-F73</f>
        <v>-3.0000000000000002E-2</v>
      </c>
      <c r="K73" s="1" t="str">
        <f>IF(AND(E73&lt;=I73,E73&gt;=J73),"соответствует","не соответствует")</f>
        <v>соответствует</v>
      </c>
      <c r="L73" s="2">
        <v>46473</v>
      </c>
    </row>
    <row r="74" spans="1:12">
      <c r="D74">
        <v>100</v>
      </c>
      <c r="E74">
        <v>0.05</v>
      </c>
      <c r="F74">
        <v>0.05</v>
      </c>
      <c r="G74">
        <f>E74-F74</f>
        <v>0</v>
      </c>
      <c r="I74">
        <f>E74+F74</f>
        <v>0.1</v>
      </c>
      <c r="J74">
        <f>E74-F74</f>
        <v>0</v>
      </c>
      <c r="K74" s="1" t="str">
        <f>IF(AND(E74&lt;=I74,E74&gt;=J74),"соответствует","не соответствует")</f>
        <v>соответствует</v>
      </c>
    </row>
    <row r="75" spans="1:12">
      <c r="D75">
        <v>150</v>
      </c>
      <c r="E75">
        <v>0.04</v>
      </c>
      <c r="F75">
        <v>0.05</v>
      </c>
      <c r="G75">
        <f>E75-F75</f>
        <v>-1.0000000000000002E-2</v>
      </c>
      <c r="I75">
        <f>E75+F75</f>
        <v>0.09</v>
      </c>
      <c r="J75">
        <f>E75-F75</f>
        <v>-1.0000000000000002E-2</v>
      </c>
      <c r="K75" s="1" t="str">
        <f>IF(AND(E75&lt;=I75,E75&gt;=J75),"соответствует","не соответствует")</f>
        <v>соответствует</v>
      </c>
    </row>
    <row r="76" spans="1:12">
      <c r="D76">
        <v>200</v>
      </c>
      <c r="E76">
        <v>0.06</v>
      </c>
      <c r="F76">
        <v>0.05</v>
      </c>
      <c r="G76">
        <f>E76-F76</f>
        <v>9.999999999999995E-3</v>
      </c>
      <c r="I76">
        <f>E76+F76</f>
        <v>0.11</v>
      </c>
      <c r="J76">
        <f>E76-F76</f>
        <v>9.999999999999995E-3</v>
      </c>
      <c r="K76" s="1" t="str">
        <f>IF(AND(E76&lt;=I76,E76&gt;=J76),"соответствует","не соответствует")</f>
        <v>соответствует</v>
      </c>
    </row>
    <row r="77" spans="1:12">
      <c r="D77">
        <v>300</v>
      </c>
      <c r="E77">
        <v>7.0000000000000007E-2</v>
      </c>
      <c r="F77">
        <v>0.05</v>
      </c>
      <c r="G77">
        <f>E77-F77</f>
        <v>2.0000000000000004E-2</v>
      </c>
      <c r="I77">
        <f>E77+F77</f>
        <v>0.12000000000000001</v>
      </c>
      <c r="J77">
        <f>E77-F77</f>
        <v>2.0000000000000004E-2</v>
      </c>
      <c r="K77" s="1" t="str">
        <f>IF(AND(E77&lt;=I77,E77&gt;=J77),"соответствует","не соответствует")</f>
        <v>соответствует</v>
      </c>
    </row>
    <row r="79" spans="1:12" ht="60" customHeight="1">
      <c r="A79" s="12" t="s">
        <v>55</v>
      </c>
      <c r="B79" s="1" t="s">
        <v>56</v>
      </c>
      <c r="C79" s="1" t="s">
        <v>57</v>
      </c>
      <c r="D79" s="1">
        <v>0</v>
      </c>
      <c r="E79" s="1">
        <v>-0.01</v>
      </c>
      <c r="F79" s="1">
        <v>0.05</v>
      </c>
      <c r="G79">
        <f>E79-F79</f>
        <v>-6.0000000000000005E-2</v>
      </c>
      <c r="H79" s="1" t="s">
        <v>58</v>
      </c>
      <c r="I79">
        <f>E79+F79</f>
        <v>0.04</v>
      </c>
      <c r="J79">
        <f>E79-F79</f>
        <v>-6.0000000000000005E-2</v>
      </c>
      <c r="K79" s="1" t="str">
        <f>IF(AND(E79&lt;=I79,E79&gt;=J79),"соответствует","не соответствует")</f>
        <v>соответствует</v>
      </c>
      <c r="L79" s="2">
        <v>46470</v>
      </c>
    </row>
    <row r="80" spans="1:12">
      <c r="D80">
        <v>25</v>
      </c>
      <c r="E80" s="1">
        <v>0.08</v>
      </c>
      <c r="F80" s="1">
        <v>0.05</v>
      </c>
      <c r="G80">
        <f>E80-F80</f>
        <v>0.03</v>
      </c>
      <c r="I80">
        <f>E80+F80</f>
        <v>0.13</v>
      </c>
      <c r="J80">
        <f>E80-F80</f>
        <v>0.03</v>
      </c>
      <c r="K80" s="1" t="str">
        <f>IF(AND(E80&lt;=I80,E80&gt;=J80),"соответствует","не соответствует")</f>
        <v>соответствует</v>
      </c>
    </row>
    <row r="81" spans="1:12">
      <c r="D81">
        <v>50</v>
      </c>
      <c r="E81" s="1">
        <v>7.0000000000000007E-2</v>
      </c>
      <c r="F81" s="1">
        <v>0.05</v>
      </c>
      <c r="G81">
        <f>E81-F81</f>
        <v>2.0000000000000004E-2</v>
      </c>
      <c r="I81">
        <f>E81+F81</f>
        <v>0.12000000000000001</v>
      </c>
      <c r="J81">
        <f>E81-F81</f>
        <v>2.0000000000000004E-2</v>
      </c>
      <c r="K81" s="1" t="str">
        <f>IF(AND(E81&lt;=I81,E81&gt;=J81),"соответствует","не соответствует")</f>
        <v>соответствует</v>
      </c>
    </row>
    <row r="82" spans="1:12">
      <c r="D82" s="1"/>
      <c r="E82" s="1"/>
      <c r="F82" s="1"/>
      <c r="G82" s="1"/>
      <c r="H82" s="1"/>
      <c r="I82" s="1"/>
      <c r="J82" s="1"/>
      <c r="K82" s="1"/>
    </row>
    <row r="83" spans="1:12">
      <c r="E83" s="1"/>
      <c r="F83" s="1"/>
      <c r="I83" s="1"/>
      <c r="J83" s="1"/>
    </row>
    <row r="84" spans="1:12">
      <c r="E84" s="1"/>
      <c r="F84" s="1"/>
      <c r="I84" s="1"/>
      <c r="J84" s="1"/>
    </row>
    <row r="85" spans="1:12" ht="60" customHeight="1">
      <c r="A85" s="12" t="s">
        <v>59</v>
      </c>
      <c r="B85" s="1" t="s">
        <v>60</v>
      </c>
      <c r="C85" s="1" t="s">
        <v>61</v>
      </c>
      <c r="D85" s="1">
        <v>50</v>
      </c>
      <c r="E85" s="1">
        <v>0</v>
      </c>
      <c r="F85" s="1">
        <v>1</v>
      </c>
      <c r="G85" s="1">
        <f>E85-F85</f>
        <v>-1</v>
      </c>
      <c r="H85" s="1" t="s">
        <v>62</v>
      </c>
      <c r="I85">
        <f>E85+F85</f>
        <v>1</v>
      </c>
      <c r="J85">
        <f>E85-F85</f>
        <v>-1</v>
      </c>
      <c r="K85" s="1" t="str">
        <f>IF(AND(E85&lt;=I85,E85&gt;=J85),"соответствует","не соответствует")</f>
        <v>соответствует</v>
      </c>
      <c r="L85" s="2">
        <v>46470</v>
      </c>
    </row>
    <row r="86" spans="1:12">
      <c r="D86">
        <v>100</v>
      </c>
      <c r="E86" s="1">
        <v>1E-3</v>
      </c>
      <c r="F86" s="1">
        <v>1</v>
      </c>
      <c r="G86">
        <f>E86-F86</f>
        <v>-0.999</v>
      </c>
      <c r="I86">
        <f>E86+F86</f>
        <v>1.0009999999999999</v>
      </c>
      <c r="J86">
        <f>E86-F86</f>
        <v>-0.999</v>
      </c>
      <c r="K86" t="str">
        <f>IF(AND(E86&lt;=I86,E86&gt;=J86),"соответствует","не соответствует")</f>
        <v>соответствует</v>
      </c>
    </row>
    <row r="87" spans="1:12">
      <c r="D87">
        <v>200</v>
      </c>
      <c r="E87" s="1">
        <v>-1E-3</v>
      </c>
      <c r="F87" s="1">
        <v>1</v>
      </c>
      <c r="G87">
        <f>E87-F87</f>
        <v>-1.0009999999999999</v>
      </c>
      <c r="I87">
        <f>E87+F87</f>
        <v>0.999</v>
      </c>
      <c r="J87">
        <f>E87-F87</f>
        <v>-1.0009999999999999</v>
      </c>
      <c r="K87" t="str">
        <f>IF(AND(E87&lt;=I87,E87&gt;=J87),"соответствует","не соответствует")</f>
        <v>соответствует</v>
      </c>
    </row>
    <row r="88" spans="1:12">
      <c r="D88" s="1">
        <v>300</v>
      </c>
      <c r="E88" s="1">
        <v>2E-3</v>
      </c>
      <c r="F88" s="1">
        <v>1</v>
      </c>
      <c r="G88" s="1">
        <f>E88-F88</f>
        <v>-0.998</v>
      </c>
      <c r="H88" s="1"/>
      <c r="I88">
        <f>E88+F88</f>
        <v>1.002</v>
      </c>
      <c r="J88">
        <f>E88-F88</f>
        <v>-0.998</v>
      </c>
      <c r="K88" s="1" t="str">
        <f>IF(AND(E88&lt;=I88,E88&gt;=J88),"соответствует","не соответствует")</f>
        <v>соответствует</v>
      </c>
    </row>
    <row r="89" spans="1:12">
      <c r="D89">
        <v>400</v>
      </c>
      <c r="E89" s="1">
        <v>3.0000000000000001E-3</v>
      </c>
      <c r="F89" s="1">
        <v>1</v>
      </c>
      <c r="G89">
        <f>E89-F89</f>
        <v>-0.997</v>
      </c>
      <c r="I89">
        <f>E89+F89</f>
        <v>1.0029999999999999</v>
      </c>
      <c r="J89">
        <f>E89-F89</f>
        <v>-0.997</v>
      </c>
      <c r="K89" t="str">
        <f>IF(AND(E89&lt;=I89,E89&gt;=J89),"соответствует","не соответствует")</f>
        <v>соответствует</v>
      </c>
    </row>
    <row r="90" spans="1:12">
      <c r="E90" s="1"/>
      <c r="F90" s="1"/>
      <c r="I90" s="1"/>
      <c r="J90" s="1"/>
    </row>
    <row r="93" spans="1:12" ht="60" customHeight="1">
      <c r="A93" s="12" t="s">
        <v>63</v>
      </c>
      <c r="B93" s="1" t="s">
        <v>60</v>
      </c>
      <c r="C93" s="1" t="s">
        <v>64</v>
      </c>
      <c r="D93" s="1">
        <v>70</v>
      </c>
      <c r="E93" s="1">
        <v>0</v>
      </c>
      <c r="F93" s="1">
        <v>1</v>
      </c>
      <c r="G93" s="1">
        <f>E93-F93</f>
        <v>-1</v>
      </c>
      <c r="H93" s="1" t="s">
        <v>62</v>
      </c>
      <c r="I93">
        <f>E93+F93</f>
        <v>1</v>
      </c>
      <c r="J93">
        <f>E93-F93</f>
        <v>-1</v>
      </c>
      <c r="K93" s="1" t="str">
        <f>IF(AND((E93+F93)&lt;=I93, (E93-F93)&gt;=J93), "соответствует", "не соответствует")</f>
        <v>соответствует</v>
      </c>
      <c r="L93" s="2">
        <v>46470</v>
      </c>
    </row>
    <row r="94" spans="1:12">
      <c r="D94">
        <v>200</v>
      </c>
      <c r="E94" s="1">
        <v>1E-3</v>
      </c>
      <c r="F94" s="1">
        <v>1</v>
      </c>
      <c r="G94">
        <f>E94-F94</f>
        <v>-0.999</v>
      </c>
      <c r="I94">
        <f>E94+F94</f>
        <v>1.0009999999999999</v>
      </c>
      <c r="J94">
        <f>E94-F94</f>
        <v>-0.999</v>
      </c>
      <c r="K94" s="1" t="str">
        <f>IF(AND((E94+F94)&lt;=I94, (E94-F94)&gt;=J94), "соответствует", "не соответствует")</f>
        <v>соответствует</v>
      </c>
    </row>
    <row r="95" spans="1:12">
      <c r="D95">
        <v>350</v>
      </c>
      <c r="E95" s="1">
        <v>-1E-3</v>
      </c>
      <c r="F95" s="1">
        <v>1</v>
      </c>
      <c r="G95">
        <f>E95-F95</f>
        <v>-1.0009999999999999</v>
      </c>
      <c r="I95">
        <f>E95+F95</f>
        <v>0.999</v>
      </c>
      <c r="J95">
        <f>E95-F95</f>
        <v>-1.0009999999999999</v>
      </c>
      <c r="K95" s="1" t="str">
        <f>IF(AND((E95+F95)&lt;=I95, (E95-F95)&gt;=J95), "соответствует", "не соответствует")</f>
        <v>соответствует</v>
      </c>
    </row>
    <row r="96" spans="1:12">
      <c r="D96" s="1">
        <v>500</v>
      </c>
      <c r="E96" s="1">
        <v>2E-3</v>
      </c>
      <c r="F96" s="1">
        <v>1</v>
      </c>
      <c r="G96" s="1">
        <f>E96-F96</f>
        <v>-0.998</v>
      </c>
      <c r="H96" s="1"/>
      <c r="I96">
        <f>E96+F96</f>
        <v>1.002</v>
      </c>
      <c r="J96">
        <f>E96-F96</f>
        <v>-0.998</v>
      </c>
      <c r="K96" s="1" t="str">
        <f>IF(AND((E96+F96)&lt;=I96, (E96-F96)&gt;=J96), "соответствует", "не соответствует")</f>
        <v>соответствует</v>
      </c>
    </row>
    <row r="97" spans="1:12">
      <c r="E97" s="1"/>
      <c r="F97" s="1"/>
      <c r="I97" s="1"/>
      <c r="J97" s="1"/>
    </row>
    <row r="98" spans="1:12">
      <c r="E98" s="1"/>
      <c r="F98" s="1"/>
      <c r="I98" s="1"/>
      <c r="J98" s="1"/>
    </row>
    <row r="100" spans="1:12" ht="60" customHeight="1">
      <c r="A100" s="12" t="s">
        <v>65</v>
      </c>
      <c r="B100" s="1" t="s">
        <v>66</v>
      </c>
      <c r="C100" s="1" t="s">
        <v>67</v>
      </c>
      <c r="D100" s="5">
        <v>0.2</v>
      </c>
      <c r="E100" s="1">
        <v>0</v>
      </c>
      <c r="F100" s="1">
        <v>0.05</v>
      </c>
      <c r="G100" s="1">
        <f>E100-F100</f>
        <v>-0.05</v>
      </c>
      <c r="H100" s="1" t="s">
        <v>68</v>
      </c>
      <c r="I100">
        <v>1</v>
      </c>
      <c r="J100">
        <v>-1</v>
      </c>
      <c r="K100" s="1" t="str">
        <f>IF(AND((E100+F100)&lt;=I100, (E100-F100)&gt;=J100), "соответствует", "не соответствует")</f>
        <v>соответствует</v>
      </c>
      <c r="L100" s="2">
        <v>46470</v>
      </c>
    </row>
    <row r="101" spans="1:12">
      <c r="D101">
        <v>0.5</v>
      </c>
      <c r="E101">
        <v>0</v>
      </c>
      <c r="F101" s="1">
        <v>0.05</v>
      </c>
      <c r="G101" s="1">
        <f>E101-F101</f>
        <v>-0.05</v>
      </c>
      <c r="I101">
        <v>1</v>
      </c>
      <c r="J101">
        <v>-1</v>
      </c>
      <c r="K101" s="1" t="str">
        <f>IF(AND((E101+F101)&lt;=I101, (E101-F101)&gt;=J101), "соответствует", "не соответствует")</f>
        <v>соответствует</v>
      </c>
    </row>
    <row r="102" spans="1:12">
      <c r="D102">
        <v>1</v>
      </c>
      <c r="E102">
        <v>0</v>
      </c>
      <c r="F102" s="1">
        <v>0.05</v>
      </c>
      <c r="G102" s="1">
        <f>E102-F102</f>
        <v>-0.05</v>
      </c>
      <c r="I102">
        <v>1</v>
      </c>
      <c r="J102">
        <v>-1</v>
      </c>
      <c r="K102" s="1" t="str">
        <f>IF(AND((E102+F102)&lt;=I102, (E102-F102)&gt;=J102), "соответствует", "не соответствует")</f>
        <v>соответствует</v>
      </c>
    </row>
    <row r="103" spans="1:12">
      <c r="F103" t="s">
        <v>69</v>
      </c>
    </row>
    <row r="104" spans="1:12" ht="60" customHeight="1">
      <c r="A104" s="12" t="s">
        <v>70</v>
      </c>
      <c r="B104" s="1" t="s">
        <v>71</v>
      </c>
      <c r="C104" s="1" t="s">
        <v>72</v>
      </c>
      <c r="D104" s="5">
        <v>0.5</v>
      </c>
      <c r="E104" s="1">
        <v>0</v>
      </c>
      <c r="F104" s="1">
        <v>0.01</v>
      </c>
      <c r="G104" s="1">
        <f>E104-F104</f>
        <v>-0.01</v>
      </c>
      <c r="H104" s="1" t="s">
        <v>73</v>
      </c>
      <c r="I104" s="1">
        <v>0.02</v>
      </c>
      <c r="J104" s="1">
        <v>-0.02</v>
      </c>
      <c r="K104" s="1" t="str">
        <f>IF(AND((E104+F104)&lt;=I104, (E104-F104)&gt;=J104), "соответствует", "не соответствует")</f>
        <v>соответствует</v>
      </c>
      <c r="L104" s="2">
        <v>46470</v>
      </c>
    </row>
    <row r="105" spans="1:12">
      <c r="C105" t="s">
        <v>74</v>
      </c>
      <c r="D105" s="6">
        <v>50</v>
      </c>
      <c r="E105">
        <v>0</v>
      </c>
      <c r="F105" s="1">
        <v>0.01</v>
      </c>
      <c r="G105" s="1">
        <f>E105-F105</f>
        <v>-0.01</v>
      </c>
      <c r="I105">
        <v>0.03</v>
      </c>
      <c r="J105">
        <v>-0.03</v>
      </c>
      <c r="K105" s="1" t="str">
        <f>IF(AND((E105+F105)&lt;=I105, (E105-F105)&gt;=J105), "соответствует", "не соответствует")</f>
        <v>соответствует</v>
      </c>
    </row>
    <row r="106" spans="1:12">
      <c r="D106" s="6">
        <v>70</v>
      </c>
      <c r="E106">
        <v>0.02</v>
      </c>
      <c r="F106" s="1">
        <v>0.01</v>
      </c>
      <c r="G106" s="1">
        <f>E106-F106</f>
        <v>0.01</v>
      </c>
      <c r="I106">
        <v>0.03</v>
      </c>
      <c r="J106">
        <v>-0.03</v>
      </c>
      <c r="K106" s="1" t="str">
        <f>IF(AND((E106+F106)&lt;=I106, (E106-F106)&gt;=J106), "соответствует", "не соответствует")</f>
        <v>соответствует</v>
      </c>
    </row>
    <row r="107" spans="1:12">
      <c r="C107" s="8"/>
      <c r="D107" s="6">
        <v>100</v>
      </c>
      <c r="E107">
        <v>0.02</v>
      </c>
      <c r="F107" s="1">
        <v>0.01</v>
      </c>
      <c r="G107" s="1">
        <f>E107-F107</f>
        <v>0.01</v>
      </c>
      <c r="I107">
        <v>0.03</v>
      </c>
      <c r="J107">
        <v>-0.03</v>
      </c>
      <c r="K107" s="1" t="str">
        <f>IF(AND((E107+F107)&lt;=I107, (E107-F107)&gt;=J107), "соответствует", "не соответствует")</f>
        <v>соответствует</v>
      </c>
    </row>
    <row r="108" spans="1:12">
      <c r="A108" s="1"/>
      <c r="B108" s="7"/>
      <c r="C108" s="1"/>
      <c r="D108" s="5">
        <v>150</v>
      </c>
      <c r="E108" s="1">
        <v>0.02</v>
      </c>
      <c r="F108" s="1">
        <v>0.01</v>
      </c>
      <c r="G108" s="1">
        <f>E108-F108</f>
        <v>0.01</v>
      </c>
      <c r="H108" s="1"/>
      <c r="I108" s="1">
        <v>0.03</v>
      </c>
      <c r="J108" s="1">
        <v>-0.03</v>
      </c>
      <c r="K108" s="1" t="str">
        <f>IF(AND((E108+F108)&lt;=I108, (E108-F108)&gt;=J108), "соответствует", "не соответствует")</f>
        <v>соответствует</v>
      </c>
      <c r="L108" s="2"/>
    </row>
    <row r="109" spans="1:12">
      <c r="A109" s="1"/>
      <c r="B109" s="9"/>
      <c r="C109" s="1"/>
      <c r="D109" s="5"/>
      <c r="E109" s="1"/>
      <c r="F109" s="1"/>
      <c r="G109" s="1"/>
      <c r="K109" s="1"/>
      <c r="L109" s="2"/>
    </row>
    <row r="110" spans="1:12">
      <c r="C110" t="s">
        <v>75</v>
      </c>
      <c r="D110" s="6">
        <v>0.5</v>
      </c>
      <c r="E110">
        <v>0</v>
      </c>
      <c r="F110" s="1">
        <v>0.01</v>
      </c>
      <c r="G110" s="1">
        <f>E110-F110</f>
        <v>-0.01</v>
      </c>
      <c r="I110">
        <v>0.02</v>
      </c>
      <c r="J110" s="4">
        <v>-0.02</v>
      </c>
      <c r="K110" s="1" t="str">
        <f>IF(AND((E110+F110)&lt;=I110, (E110-F110)&gt;=J110), "соответствует", "не соответствует")</f>
        <v>соответствует</v>
      </c>
    </row>
    <row r="111" spans="1:12">
      <c r="D111" s="6">
        <v>50</v>
      </c>
      <c r="E111">
        <v>0</v>
      </c>
      <c r="F111" s="1">
        <v>0.01</v>
      </c>
      <c r="G111" s="1">
        <f>E111-F111</f>
        <v>-0.01</v>
      </c>
      <c r="I111">
        <v>0.03</v>
      </c>
      <c r="J111">
        <v>-0.03</v>
      </c>
      <c r="K111" s="1" t="str">
        <f>IF(AND((E111+F111)&lt;=I111, (E111-F111)&gt;=J111), "соответствует", "не соответствует")</f>
        <v>соответствует</v>
      </c>
    </row>
    <row r="112" spans="1:12">
      <c r="D112" s="6">
        <v>70</v>
      </c>
      <c r="E112">
        <v>0</v>
      </c>
      <c r="F112" s="1">
        <v>0.01</v>
      </c>
      <c r="G112" s="1">
        <f>E112-F112</f>
        <v>-0.01</v>
      </c>
      <c r="I112" s="3">
        <v>0.03</v>
      </c>
      <c r="J112">
        <v>-0.03</v>
      </c>
      <c r="K112" s="1" t="str">
        <f>IF(AND((E112+F112)&lt;=I112, (E112-F112)&gt;=J112), "соответствует", "не соответствует")</f>
        <v>соответствует</v>
      </c>
    </row>
    <row r="113" spans="1:12">
      <c r="D113" s="6">
        <v>100</v>
      </c>
      <c r="E113">
        <v>0</v>
      </c>
      <c r="F113" s="1">
        <v>0.01</v>
      </c>
      <c r="G113" s="1">
        <f>E113-F113</f>
        <v>-0.01</v>
      </c>
      <c r="I113">
        <v>0.03</v>
      </c>
      <c r="J113">
        <v>-0.03</v>
      </c>
      <c r="K113" s="1" t="str">
        <f>IF(AND((E113+F113)&lt;=I113, (E113-F113)&gt;=J113), "соответствует", "не соответствует")</f>
        <v>соответствует</v>
      </c>
    </row>
    <row r="114" spans="1:12">
      <c r="D114" s="6">
        <v>150</v>
      </c>
      <c r="E114">
        <v>-0.02</v>
      </c>
      <c r="F114" s="1">
        <v>0.01</v>
      </c>
      <c r="G114" s="1">
        <f>E114-F114</f>
        <v>-0.03</v>
      </c>
      <c r="I114">
        <v>0.03</v>
      </c>
      <c r="J114">
        <v>-0.03</v>
      </c>
      <c r="K114" s="1" t="str">
        <f>IF(AND((E114+F114)&lt;=I114, (E114-F114)&gt;=J114), "соответствует", "не соответствует")</f>
        <v>соответствует</v>
      </c>
    </row>
    <row r="115" spans="1:12">
      <c r="F115" s="1"/>
      <c r="G115" s="1"/>
      <c r="H115" s="1"/>
      <c r="K115" s="1"/>
    </row>
    <row r="116" spans="1:12">
      <c r="C116" t="s">
        <v>76</v>
      </c>
      <c r="D116" s="6">
        <v>20</v>
      </c>
      <c r="E116">
        <v>0</v>
      </c>
      <c r="F116" s="1">
        <v>0.01</v>
      </c>
      <c r="G116" s="1">
        <f>E116-F116</f>
        <v>-0.01</v>
      </c>
      <c r="I116">
        <v>0.02</v>
      </c>
      <c r="J116">
        <v>-0.02</v>
      </c>
      <c r="K116" s="1" t="str">
        <f>IF(AND((E116+F116)&lt;=I116, (E116-F116)&gt;=J116), "соответствует", "не соответствует")</f>
        <v>соответствует</v>
      </c>
    </row>
    <row r="118" spans="1:12" ht="63.75" customHeight="1">
      <c r="A118" s="12" t="s">
        <v>77</v>
      </c>
      <c r="B118" s="1" t="s">
        <v>78</v>
      </c>
      <c r="C118" s="1" t="s">
        <v>79</v>
      </c>
      <c r="D118" s="6">
        <v>50</v>
      </c>
      <c r="E118">
        <v>2.9999999999999997E-4</v>
      </c>
      <c r="F118" s="1">
        <v>4.0000000000000002E-4</v>
      </c>
      <c r="G118" s="1">
        <f>E118-F118</f>
        <v>-1.0000000000000005E-4</v>
      </c>
      <c r="I118">
        <f>E118+F118</f>
        <v>6.9999999999999999E-4</v>
      </c>
      <c r="J118">
        <f>E118-F118</f>
        <v>-1.0000000000000005E-4</v>
      </c>
      <c r="K118" s="1" t="str">
        <f>IF(AND((E118+F118)&lt;=I118, (E118-F118)&gt;=J118), "соответствует", "не соответствует")</f>
        <v>соответствует</v>
      </c>
      <c r="L118" s="10">
        <v>46470</v>
      </c>
    </row>
    <row r="119" spans="1:12">
      <c r="F119" s="1"/>
      <c r="G119" s="1"/>
    </row>
    <row r="120" spans="1:12">
      <c r="F120" s="1"/>
      <c r="G120" s="1"/>
    </row>
    <row r="121" spans="1:12">
      <c r="F121" s="1"/>
      <c r="G121" s="1"/>
      <c r="I121" s="3"/>
      <c r="J121" s="1"/>
    </row>
    <row r="122" spans="1:12" ht="60" customHeight="1">
      <c r="A122" s="12" t="s">
        <v>80</v>
      </c>
      <c r="B122" s="1" t="s">
        <v>81</v>
      </c>
      <c r="C122" s="1" t="s">
        <v>82</v>
      </c>
      <c r="D122">
        <v>2500</v>
      </c>
      <c r="E122">
        <v>0.5</v>
      </c>
      <c r="F122" s="1">
        <v>0.3</v>
      </c>
      <c r="G122" s="1">
        <f>E122-F122</f>
        <v>0.2</v>
      </c>
      <c r="H122" t="s">
        <v>62</v>
      </c>
      <c r="I122">
        <v>0.9</v>
      </c>
      <c r="J122" s="1">
        <v>-0.9</v>
      </c>
      <c r="K122" s="1" t="str">
        <f>IF(AND((E122+F122)&lt;=I122, (E122-F122)&gt;=J122), "соответствует", "не соответствует")</f>
        <v>соответствует</v>
      </c>
      <c r="L122" s="10">
        <v>46470</v>
      </c>
    </row>
    <row r="123" spans="1:12">
      <c r="D123">
        <v>3500</v>
      </c>
      <c r="E123">
        <v>0.1</v>
      </c>
      <c r="F123" s="1">
        <v>0.3</v>
      </c>
      <c r="G123" s="1">
        <f>E123-F123</f>
        <v>-0.19999999999999998</v>
      </c>
      <c r="I123">
        <v>1.1000000000000001</v>
      </c>
      <c r="J123" s="1">
        <v>-1.1000000000000001</v>
      </c>
      <c r="K123" s="1" t="str">
        <f>IF(AND((E123+F123)&lt;=I123, (E123-F123)&gt;=J123), "соответствует", "не соответствует")</f>
        <v>соответствует</v>
      </c>
    </row>
    <row r="124" spans="1:12">
      <c r="D124">
        <v>5000</v>
      </c>
      <c r="E124">
        <v>-0.1</v>
      </c>
      <c r="F124" s="1">
        <v>0.3</v>
      </c>
      <c r="G124" s="1">
        <f>E124-F124</f>
        <v>-0.4</v>
      </c>
      <c r="H124" s="1"/>
      <c r="I124" s="1">
        <v>1.4</v>
      </c>
      <c r="J124" s="1">
        <v>-1.4</v>
      </c>
      <c r="K124" s="1" t="str">
        <f>IF(AND((E124+F124)&lt;=I124, (E124-F124)&gt;=J124), "соответствует", "не соответствует")</f>
        <v>соответствует</v>
      </c>
    </row>
    <row r="125" spans="1:12">
      <c r="F125" s="1"/>
      <c r="G125" s="1"/>
    </row>
    <row r="126" spans="1:12">
      <c r="F126" s="1"/>
      <c r="G126" s="1"/>
    </row>
    <row r="127" spans="1:12">
      <c r="F127" s="1"/>
      <c r="G127" s="1"/>
    </row>
    <row r="128" spans="1:12" ht="60" customHeight="1">
      <c r="A128" s="12" t="s">
        <v>83</v>
      </c>
      <c r="B128" s="1" t="s">
        <v>84</v>
      </c>
      <c r="C128" s="1" t="s">
        <v>85</v>
      </c>
      <c r="D128">
        <v>0.5</v>
      </c>
      <c r="E128">
        <v>0</v>
      </c>
      <c r="F128" s="1">
        <v>0.02</v>
      </c>
      <c r="G128" s="1">
        <f>E128-F128</f>
        <v>-0.02</v>
      </c>
    </row>
    <row r="129" spans="2:12">
      <c r="D129">
        <v>50</v>
      </c>
      <c r="E129">
        <v>0</v>
      </c>
      <c r="F129" s="1">
        <v>0.02</v>
      </c>
      <c r="G129" s="1">
        <f>E129-F129</f>
        <v>-0.02</v>
      </c>
    </row>
    <row r="130" spans="2:12">
      <c r="C130" t="s">
        <v>74</v>
      </c>
      <c r="D130">
        <v>100</v>
      </c>
      <c r="E130">
        <v>0.02</v>
      </c>
      <c r="F130" s="1">
        <v>0.02</v>
      </c>
      <c r="G130" s="1">
        <f>E130-F130</f>
        <v>0</v>
      </c>
    </row>
    <row r="131" spans="2:12">
      <c r="B131" s="9"/>
      <c r="C131" s="1"/>
      <c r="D131" s="6">
        <v>150</v>
      </c>
      <c r="E131">
        <v>0</v>
      </c>
      <c r="F131" s="1">
        <v>0.02</v>
      </c>
      <c r="G131" s="1">
        <f>E131-F131</f>
        <v>-0.02</v>
      </c>
      <c r="I131" s="1"/>
      <c r="J131" s="1"/>
      <c r="K131" s="1"/>
      <c r="L131" s="10"/>
    </row>
    <row r="132" spans="2:12">
      <c r="D132" s="6">
        <v>250</v>
      </c>
      <c r="E132" s="6">
        <v>0.02</v>
      </c>
      <c r="F132" s="1">
        <v>0.02</v>
      </c>
      <c r="G132" s="1">
        <f>E132-F132</f>
        <v>0</v>
      </c>
      <c r="I132" s="1"/>
      <c r="J132" s="1"/>
      <c r="K132" s="1"/>
    </row>
    <row r="133" spans="2:12">
      <c r="D133" s="6"/>
      <c r="E133" s="6"/>
      <c r="F133" s="6"/>
      <c r="G133" s="1"/>
      <c r="I133" s="1"/>
      <c r="J133" s="1"/>
      <c r="K133" s="1"/>
    </row>
    <row r="134" spans="2:12">
      <c r="D134" s="6">
        <v>0.5</v>
      </c>
      <c r="E134">
        <v>0</v>
      </c>
      <c r="F134" s="1">
        <v>0.02</v>
      </c>
      <c r="G134" s="1">
        <f>E134-F134</f>
        <v>-0.02</v>
      </c>
    </row>
    <row r="135" spans="2:12">
      <c r="B135" s="9"/>
      <c r="C135" s="1"/>
      <c r="D135" s="6">
        <v>50</v>
      </c>
      <c r="E135" s="6">
        <v>0.02</v>
      </c>
      <c r="F135" s="1">
        <v>0.02</v>
      </c>
      <c r="G135" s="1">
        <f>E135-F135</f>
        <v>0</v>
      </c>
      <c r="I135" s="1"/>
      <c r="J135" s="1"/>
      <c r="K135" s="1"/>
      <c r="L135" s="10"/>
    </row>
    <row r="136" spans="2:12">
      <c r="C136" t="s">
        <v>75</v>
      </c>
      <c r="D136" s="6">
        <v>100</v>
      </c>
      <c r="E136" s="6">
        <v>-0.02</v>
      </c>
      <c r="F136" s="1">
        <v>0.02</v>
      </c>
      <c r="G136" s="1">
        <f>E136-F136</f>
        <v>-0.04</v>
      </c>
      <c r="K136" s="1"/>
    </row>
    <row r="137" spans="2:12">
      <c r="D137" s="6">
        <v>150</v>
      </c>
      <c r="E137" s="6">
        <v>0</v>
      </c>
      <c r="F137" s="1">
        <v>0.02</v>
      </c>
      <c r="G137" s="1">
        <f>E137-F137</f>
        <v>-0.02</v>
      </c>
      <c r="K137" s="1"/>
    </row>
    <row r="138" spans="2:12">
      <c r="C138" s="8"/>
      <c r="D138" s="6">
        <v>250</v>
      </c>
      <c r="E138" s="6">
        <v>0</v>
      </c>
      <c r="F138" s="1">
        <v>0.02</v>
      </c>
      <c r="G138" s="1">
        <f>E138-F138</f>
        <v>-0.02</v>
      </c>
      <c r="K138" s="1"/>
    </row>
    <row r="140" spans="2:12">
      <c r="B140" s="7"/>
      <c r="C140" s="1" t="s">
        <v>76</v>
      </c>
      <c r="D140" s="6">
        <v>20</v>
      </c>
      <c r="E140" s="6">
        <v>0</v>
      </c>
      <c r="F140" s="1">
        <v>0.02</v>
      </c>
      <c r="G140" s="1">
        <f>E140-F140</f>
        <v>-0.02</v>
      </c>
      <c r="I140" s="1"/>
      <c r="J140" s="1"/>
      <c r="K140" s="1"/>
    </row>
    <row r="141" spans="2:12">
      <c r="I141" s="1"/>
      <c r="J141" s="1"/>
      <c r="K141" s="1"/>
      <c r="L141" s="10"/>
    </row>
    <row r="142" spans="2:12">
      <c r="I142" s="1"/>
      <c r="J142" s="1"/>
      <c r="K142" s="1"/>
    </row>
    <row r="144" spans="2:12">
      <c r="B144" s="9"/>
      <c r="C144" s="1"/>
      <c r="I144" s="1"/>
      <c r="J144" s="1"/>
      <c r="K144" s="1"/>
      <c r="L144" s="10"/>
    </row>
    <row r="145" spans="1:12">
      <c r="I145" s="1"/>
      <c r="J145" s="1"/>
      <c r="K145" s="1"/>
    </row>
    <row r="146" spans="1:12">
      <c r="I146" s="1"/>
      <c r="J146" s="1"/>
      <c r="K146" s="1"/>
    </row>
    <row r="147" spans="1:12">
      <c r="I147" s="1"/>
      <c r="J147" s="1"/>
      <c r="K147" s="1"/>
    </row>
    <row r="148" spans="1:12">
      <c r="I148" s="1"/>
      <c r="J148" s="1"/>
      <c r="K148" s="1"/>
    </row>
    <row r="149" spans="1:12">
      <c r="I149" s="1"/>
      <c r="J149" s="1"/>
      <c r="K149" s="1"/>
    </row>
    <row r="151" spans="1:12">
      <c r="A151" s="12"/>
      <c r="C151" s="1"/>
      <c r="I151" s="1"/>
      <c r="J151" s="1"/>
      <c r="K151" s="1"/>
      <c r="L151" s="10"/>
    </row>
    <row r="152" spans="1:12">
      <c r="I152" s="1"/>
      <c r="J152" s="1"/>
      <c r="K152" s="1"/>
    </row>
    <row r="153" spans="1:12">
      <c r="I153" s="1"/>
      <c r="J153" s="1"/>
      <c r="K153" s="1"/>
    </row>
    <row r="154" spans="1:12">
      <c r="I154" s="1"/>
      <c r="J154" s="1"/>
      <c r="K154" s="1"/>
    </row>
    <row r="155" spans="1:12">
      <c r="A155" s="12"/>
      <c r="B155" s="1"/>
      <c r="I155" s="1"/>
      <c r="J155" s="1"/>
      <c r="K155" s="1"/>
    </row>
    <row r="156" spans="1:12">
      <c r="I156" s="1"/>
      <c r="J156" s="1"/>
      <c r="K156" s="1"/>
      <c r="L156" s="10"/>
    </row>
    <row r="157" spans="1:12">
      <c r="I157" s="1"/>
      <c r="J157" s="1"/>
      <c r="K157" s="1"/>
    </row>
    <row r="158" spans="1:12">
      <c r="I158" s="1"/>
      <c r="J158" s="1"/>
      <c r="K158" s="1"/>
    </row>
    <row r="159" spans="1:12">
      <c r="I159" s="1"/>
      <c r="J159" s="1"/>
      <c r="K159" s="1"/>
    </row>
    <row r="160" spans="1:12">
      <c r="I160" s="1"/>
      <c r="J160" s="1"/>
      <c r="K160" s="1"/>
    </row>
    <row r="161" spans="1:12">
      <c r="I161" s="1"/>
      <c r="J161" s="1"/>
      <c r="K161" s="1"/>
    </row>
    <row r="162" spans="1:12">
      <c r="I162" s="1"/>
      <c r="J162" s="1"/>
      <c r="K162" s="1"/>
    </row>
    <row r="163" spans="1:12">
      <c r="I163" s="1"/>
      <c r="J163" s="1"/>
      <c r="K163" s="1"/>
    </row>
    <row r="164" spans="1:12">
      <c r="I164" s="1"/>
      <c r="J164" s="1"/>
      <c r="K164" s="1"/>
    </row>
    <row r="165" spans="1:12">
      <c r="I165" s="1"/>
      <c r="J165" s="1"/>
      <c r="K165" s="1"/>
    </row>
    <row r="166" spans="1:12">
      <c r="I166" s="1"/>
      <c r="J166" s="1"/>
      <c r="K166" s="1"/>
    </row>
    <row r="168" spans="1:12">
      <c r="A168" s="12"/>
      <c r="B168" s="1"/>
      <c r="C168" s="1"/>
      <c r="I168" s="1"/>
      <c r="J168" s="1"/>
      <c r="K168" s="1"/>
      <c r="L168" s="10"/>
    </row>
    <row r="169" spans="1:12">
      <c r="I169" s="1"/>
      <c r="J169" s="1"/>
      <c r="K169" s="1"/>
    </row>
    <row r="170" spans="1:12">
      <c r="I170" s="1"/>
      <c r="J170" s="1"/>
      <c r="K170" s="1"/>
    </row>
    <row r="171" spans="1:12">
      <c r="I171" s="1"/>
      <c r="J171" s="1"/>
      <c r="K171" s="1"/>
    </row>
    <row r="172" spans="1:12">
      <c r="I172" s="1"/>
      <c r="J172" s="1"/>
      <c r="K172" s="1"/>
    </row>
    <row r="173" spans="1:12">
      <c r="I173" s="1"/>
      <c r="J173" s="1"/>
      <c r="K173" s="1"/>
    </row>
    <row r="175" spans="1:12">
      <c r="A175" s="12"/>
      <c r="B175" s="1"/>
      <c r="C175" s="1"/>
      <c r="F175" s="4"/>
      <c r="G175" s="4"/>
      <c r="I175" s="3"/>
      <c r="J175" s="3"/>
      <c r="K175" s="1"/>
      <c r="L175" s="10"/>
    </row>
    <row r="176" spans="1:12">
      <c r="F176" s="4"/>
      <c r="G176" s="4"/>
      <c r="I176" s="4"/>
      <c r="J176" s="3"/>
      <c r="K176" s="1"/>
    </row>
    <row r="177" spans="1:12">
      <c r="F177" s="4"/>
      <c r="G177" s="4"/>
      <c r="I177" s="3"/>
      <c r="J177" s="3"/>
      <c r="K177" s="1"/>
    </row>
    <row r="178" spans="1:12">
      <c r="F178" s="4"/>
      <c r="G178" s="4"/>
      <c r="I178" s="3"/>
      <c r="J178" s="3"/>
      <c r="K178" s="1"/>
    </row>
    <row r="179" spans="1:12">
      <c r="F179" s="4"/>
      <c r="G179" s="4"/>
      <c r="I179" s="3"/>
      <c r="J179" s="3"/>
      <c r="K179" s="1"/>
    </row>
    <row r="180" spans="1:12">
      <c r="F180" s="4"/>
      <c r="G180" s="4"/>
      <c r="I180" s="3"/>
      <c r="J180" s="3"/>
      <c r="K180" s="1"/>
    </row>
    <row r="181" spans="1:12">
      <c r="F181" s="4"/>
      <c r="G181" s="4"/>
      <c r="I181" s="4"/>
      <c r="J181" s="3"/>
      <c r="K181" s="1"/>
    </row>
    <row r="182" spans="1:12">
      <c r="F182" s="4"/>
      <c r="G182" s="4"/>
      <c r="I182" s="4"/>
      <c r="J182" s="3"/>
      <c r="K182" s="1"/>
    </row>
    <row r="183" spans="1:12">
      <c r="F183" s="4"/>
      <c r="G183" s="4"/>
      <c r="I183" s="4"/>
      <c r="J183" s="3"/>
      <c r="K183" s="1"/>
    </row>
    <row r="184" spans="1:12">
      <c r="F184" s="4"/>
      <c r="G184" s="4"/>
      <c r="I184" s="4"/>
      <c r="J184" s="3"/>
      <c r="K184" s="1"/>
    </row>
    <row r="186" spans="1:12">
      <c r="A186" s="12"/>
      <c r="B186" s="1"/>
      <c r="C186" s="1"/>
      <c r="I186" s="1"/>
      <c r="J186" s="1"/>
      <c r="K186" s="1"/>
      <c r="L186" s="10"/>
    </row>
    <row r="187" spans="1:12">
      <c r="I187" s="1"/>
      <c r="J187" s="1"/>
      <c r="K187" s="1"/>
    </row>
    <row r="188" spans="1:12">
      <c r="I188" s="1"/>
      <c r="J188" s="1"/>
      <c r="K188" s="1"/>
    </row>
    <row r="189" spans="1:12">
      <c r="A189" s="12"/>
      <c r="B189" s="1"/>
      <c r="C189" s="1"/>
      <c r="I189" s="1"/>
      <c r="J189" s="1"/>
      <c r="K189" s="1"/>
      <c r="L189" s="10"/>
    </row>
    <row r="190" spans="1:12">
      <c r="I190" s="1"/>
      <c r="J190" s="1"/>
      <c r="K190" s="1"/>
    </row>
    <row r="191" spans="1:12">
      <c r="I191" s="1"/>
      <c r="J191" s="1"/>
      <c r="K191" s="1"/>
    </row>
    <row r="192" spans="1:12">
      <c r="I192" s="1"/>
      <c r="J192" s="1"/>
      <c r="K192" s="1"/>
    </row>
    <row r="193" spans="1:12">
      <c r="I193" s="1"/>
      <c r="J193" s="1"/>
      <c r="K193" s="1"/>
    </row>
    <row r="194" spans="1:12">
      <c r="I194" s="1"/>
      <c r="J194" s="1"/>
      <c r="K194" s="1"/>
    </row>
    <row r="195" spans="1:12">
      <c r="I195" s="1"/>
      <c r="J195" s="1"/>
      <c r="K195" s="1"/>
    </row>
    <row r="196" spans="1:12">
      <c r="I196" s="1"/>
      <c r="J196" s="1"/>
      <c r="K196" s="1"/>
    </row>
    <row r="197" spans="1:12">
      <c r="I197" s="1"/>
      <c r="J197" s="1"/>
      <c r="K197" s="1"/>
    </row>
    <row r="198" spans="1:12">
      <c r="I198" s="1"/>
      <c r="J198" s="1"/>
      <c r="K198" s="1"/>
    </row>
    <row r="200" spans="1:12">
      <c r="A200" s="12"/>
      <c r="C200" s="1"/>
      <c r="I200" s="1"/>
      <c r="J200" s="1"/>
      <c r="K200" s="1"/>
      <c r="L200" s="10"/>
    </row>
    <row r="201" spans="1:12">
      <c r="I201" s="1"/>
      <c r="J201" s="1"/>
      <c r="K201" s="1"/>
    </row>
    <row r="202" spans="1:12">
      <c r="I202" s="1"/>
      <c r="J202" s="1"/>
      <c r="K202" s="1"/>
    </row>
    <row r="203" spans="1:12">
      <c r="I203" s="1"/>
      <c r="J203" s="1"/>
      <c r="K203" s="1"/>
    </row>
    <row r="204" spans="1:12">
      <c r="I204" s="1"/>
      <c r="J204" s="1"/>
      <c r="K204" s="1"/>
    </row>
    <row r="205" spans="1:12">
      <c r="I205" s="1"/>
      <c r="J205" s="1"/>
      <c r="K205" s="1"/>
    </row>
    <row r="209" spans="1:12">
      <c r="A209" s="12"/>
      <c r="B209" s="1"/>
      <c r="C209" s="1"/>
      <c r="I209" s="1"/>
      <c r="J209" s="1"/>
      <c r="K209" s="1"/>
      <c r="L209" s="10"/>
    </row>
    <row r="210" spans="1:12">
      <c r="I210" s="1"/>
      <c r="J210" s="1"/>
      <c r="K210" s="1"/>
    </row>
    <row r="211" spans="1:12">
      <c r="I211" s="1"/>
      <c r="J211" s="1"/>
      <c r="K211" s="1"/>
    </row>
    <row r="212" spans="1:12">
      <c r="I212" s="1"/>
      <c r="J212" s="1"/>
      <c r="K212" s="1"/>
    </row>
    <row r="213" spans="1:12">
      <c r="I213" s="1"/>
      <c r="J213" s="1"/>
      <c r="K213" s="1"/>
    </row>
    <row r="214" spans="1:12">
      <c r="I214" s="1"/>
      <c r="J214" s="1"/>
      <c r="K214" s="1"/>
    </row>
    <row r="215" spans="1:12">
      <c r="A215" s="12"/>
      <c r="B215" s="1"/>
      <c r="C215" s="1"/>
      <c r="I215" s="1"/>
      <c r="J215" s="1"/>
      <c r="K215" s="1"/>
      <c r="L215" s="10"/>
    </row>
    <row r="216" spans="1:12">
      <c r="I216" s="1"/>
      <c r="J216" s="1"/>
      <c r="K216" s="1"/>
    </row>
    <row r="217" spans="1:12">
      <c r="I217" s="1"/>
      <c r="J217" s="1"/>
      <c r="K217" s="1"/>
    </row>
    <row r="218" spans="1:12">
      <c r="I218" s="1"/>
      <c r="J218" s="1"/>
      <c r="K218" s="1"/>
    </row>
    <row r="219" spans="1:12">
      <c r="I219" s="1"/>
      <c r="J219" s="1"/>
      <c r="K219" s="1"/>
    </row>
    <row r="221" spans="1:12">
      <c r="A221" s="12"/>
      <c r="B221" s="1"/>
      <c r="C221" s="1"/>
      <c r="D221" s="6"/>
      <c r="I221" s="1"/>
      <c r="J221" s="1"/>
      <c r="K221" s="1"/>
      <c r="L221" s="10"/>
    </row>
    <row r="222" spans="1:12">
      <c r="D222" s="6"/>
      <c r="I222" s="1"/>
      <c r="J222" s="1"/>
      <c r="K222" s="1"/>
    </row>
    <row r="223" spans="1:12">
      <c r="D223" s="6"/>
      <c r="I223" s="1"/>
      <c r="J223" s="1"/>
      <c r="K223" s="1"/>
    </row>
    <row r="224" spans="1:12">
      <c r="D224" s="6"/>
      <c r="I224" s="1"/>
      <c r="J224" s="1"/>
      <c r="K224" s="1"/>
    </row>
    <row r="225" spans="1:12">
      <c r="D225" s="6"/>
      <c r="I225" s="1"/>
      <c r="J225" s="1"/>
      <c r="K225" s="1"/>
    </row>
    <row r="226" spans="1:12">
      <c r="D226" s="6"/>
      <c r="I226" s="1"/>
      <c r="J226" s="1"/>
      <c r="K226" s="1"/>
    </row>
    <row r="228" spans="1:12">
      <c r="A228" s="12"/>
      <c r="B228" s="1"/>
      <c r="C228" s="1"/>
      <c r="D228" s="6"/>
      <c r="I228" s="1"/>
      <c r="J228" s="1"/>
      <c r="K228" s="1"/>
      <c r="L228" s="10"/>
    </row>
    <row r="229" spans="1:12">
      <c r="D229" s="6"/>
      <c r="I229" s="1"/>
      <c r="J229" s="1"/>
      <c r="K229" s="1"/>
    </row>
    <row r="230" spans="1:12">
      <c r="D230" s="6"/>
      <c r="I230" s="1"/>
      <c r="J230" s="1"/>
      <c r="K230" s="1"/>
    </row>
    <row r="231" spans="1:12">
      <c r="D231" s="6"/>
      <c r="I231" s="1"/>
      <c r="J231" s="1"/>
      <c r="K231" s="1"/>
    </row>
    <row r="232" spans="1:12">
      <c r="D232" s="6"/>
      <c r="I232" s="1"/>
      <c r="J232" s="1"/>
      <c r="K232" s="1"/>
    </row>
    <row r="233" spans="1:12">
      <c r="D233" s="6"/>
      <c r="I233" s="1"/>
      <c r="J233" s="1"/>
      <c r="K233" s="1"/>
    </row>
    <row r="234" spans="1:12">
      <c r="A234" s="12"/>
      <c r="B234" s="1"/>
      <c r="C234" s="1"/>
      <c r="D234" s="6"/>
      <c r="I234" s="1"/>
      <c r="J234" s="1"/>
      <c r="K234" s="1"/>
      <c r="L234" s="10"/>
    </row>
    <row r="235" spans="1:12">
      <c r="D235" s="6"/>
      <c r="I235" s="1"/>
      <c r="J235" s="1"/>
      <c r="K235" s="1"/>
    </row>
    <row r="236" spans="1:12">
      <c r="A236" s="12"/>
      <c r="B236" s="1"/>
      <c r="C236" s="1"/>
      <c r="D236" s="6"/>
      <c r="I236" s="1"/>
      <c r="J236" s="1"/>
      <c r="K236" s="1"/>
      <c r="L236" s="10"/>
    </row>
    <row r="237" spans="1:12">
      <c r="D237" s="6"/>
      <c r="I237" s="1"/>
      <c r="J237" s="1"/>
      <c r="K237" s="1"/>
    </row>
    <row r="238" spans="1:12">
      <c r="D238" s="6"/>
      <c r="I238" s="1"/>
      <c r="J238" s="1"/>
      <c r="K238" s="1"/>
    </row>
    <row r="239" spans="1:12">
      <c r="D239" s="6"/>
      <c r="I239" s="1"/>
      <c r="J239" s="1"/>
      <c r="K239" s="1"/>
    </row>
    <row r="240" spans="1:12">
      <c r="A240" s="12"/>
      <c r="B240" s="1"/>
      <c r="C240" s="1"/>
      <c r="D240" s="6"/>
      <c r="I240" s="1"/>
      <c r="J240" s="1"/>
      <c r="K240" s="1"/>
      <c r="L240" s="10"/>
    </row>
    <row r="241" spans="1:12">
      <c r="D241" s="6"/>
      <c r="I241" s="1"/>
      <c r="J241" s="1"/>
      <c r="K241" s="1"/>
    </row>
    <row r="242" spans="1:12">
      <c r="D242" s="6"/>
      <c r="I242" s="1"/>
      <c r="J242" s="1"/>
      <c r="K242" s="1"/>
    </row>
    <row r="243" spans="1:12">
      <c r="D243" s="6"/>
      <c r="I243" s="1"/>
      <c r="J243" s="1"/>
      <c r="K243" s="1"/>
    </row>
    <row r="244" spans="1:12">
      <c r="D244" s="6"/>
      <c r="I244" s="1"/>
      <c r="J244" s="1"/>
      <c r="K244" s="1"/>
    </row>
    <row r="246" spans="1:12">
      <c r="A246" s="12"/>
      <c r="B246" s="1"/>
      <c r="C246" s="1"/>
      <c r="D246" s="6"/>
      <c r="I246" s="1"/>
      <c r="J246" s="1"/>
      <c r="K246" s="1"/>
      <c r="L246" s="10"/>
    </row>
    <row r="247" spans="1:12">
      <c r="D247" s="6"/>
      <c r="I247" s="1"/>
      <c r="J247" s="1"/>
      <c r="K247" s="1"/>
    </row>
    <row r="248" spans="1:12">
      <c r="D248" s="6"/>
      <c r="I248" s="1"/>
      <c r="J248" s="1"/>
      <c r="K248" s="1"/>
    </row>
    <row r="249" spans="1:12">
      <c r="D249" s="6"/>
      <c r="I249" s="1"/>
      <c r="J249" s="1"/>
      <c r="K249" s="1"/>
    </row>
    <row r="250" spans="1:12">
      <c r="D250" s="6"/>
      <c r="I250" s="1"/>
      <c r="J250" s="1"/>
      <c r="K250" s="1"/>
    </row>
    <row r="251" spans="1:12">
      <c r="A251" s="12"/>
      <c r="B251" s="1"/>
      <c r="C251" s="1"/>
      <c r="D251" s="6"/>
      <c r="I251" s="1"/>
      <c r="J251" s="1"/>
      <c r="K251" s="1"/>
      <c r="L251" s="10"/>
    </row>
    <row r="252" spans="1:12">
      <c r="D252" s="6"/>
      <c r="I252" s="1"/>
      <c r="J252" s="1"/>
      <c r="K252" s="1"/>
    </row>
    <row r="253" spans="1:12">
      <c r="D253" s="6"/>
      <c r="I253" s="1"/>
      <c r="J253" s="1"/>
      <c r="K253" s="1"/>
    </row>
    <row r="254" spans="1:12">
      <c r="D254" s="6"/>
      <c r="I254" s="1"/>
      <c r="J254" s="1"/>
      <c r="K254" s="1"/>
    </row>
    <row r="255" spans="1:12">
      <c r="D255" s="6"/>
      <c r="I255" s="1"/>
      <c r="J255" s="1"/>
      <c r="K255" s="1"/>
    </row>
    <row r="257" spans="1:12">
      <c r="A257" s="12"/>
      <c r="B257" s="1"/>
      <c r="C257" s="1"/>
      <c r="D257" s="6"/>
      <c r="H257" s="1"/>
      <c r="I257" s="1"/>
      <c r="J257" s="1"/>
      <c r="K257" s="1"/>
      <c r="L257" s="10"/>
    </row>
    <row r="258" spans="1:12">
      <c r="D258" s="6"/>
      <c r="I258" s="1"/>
      <c r="J258" s="1"/>
      <c r="K258" s="1"/>
    </row>
    <row r="259" spans="1:12">
      <c r="D259" s="6"/>
      <c r="I259" s="1"/>
      <c r="J259" s="1"/>
      <c r="K259" s="1"/>
    </row>
    <row r="260" spans="1:12">
      <c r="D260" s="6"/>
      <c r="I260" s="1"/>
      <c r="J260" s="1"/>
      <c r="K260" s="1"/>
    </row>
    <row r="261" spans="1:12">
      <c r="D261" s="6"/>
      <c r="I261" s="1"/>
      <c r="J261" s="1"/>
      <c r="K261" s="1"/>
    </row>
  </sheetData>
  <mergeCells count="2">
    <mergeCell ref="A1:I1"/>
    <mergeCell ref="J1:R1"/>
  </mergeCells>
  <pageMargins left="0.75" right="0.75" top="1" bottom="1" header="0.5" footer="0.5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9"/>
  <sheetViews>
    <sheetView tabSelected="1" zoomScale="55" zoomScaleNormal="55" workbookViewId="0">
      <selection activeCell="K3" sqref="K3"/>
    </sheetView>
  </sheetViews>
  <sheetFormatPr defaultRowHeight="14.4"/>
  <cols>
    <col min="1" max="1" width="33.88671875" customWidth="1"/>
    <col min="2" max="2" width="18.88671875" customWidth="1"/>
    <col min="3" max="3" width="31" customWidth="1"/>
    <col min="4" max="4" width="17.44140625" customWidth="1"/>
    <col min="5" max="5" width="16.109375" customWidth="1"/>
    <col min="6" max="6" width="20.44140625" customWidth="1"/>
    <col min="7" max="7" width="26.6640625" customWidth="1"/>
    <col min="8" max="8" width="30.5546875" customWidth="1"/>
    <col min="9" max="9" width="20.44140625" customWidth="1"/>
    <col min="10" max="10" width="18" customWidth="1"/>
    <col min="11" max="11" width="25.33203125" customWidth="1"/>
    <col min="12" max="12" width="19" customWidth="1"/>
    <col min="13" max="13" width="25.109375" customWidth="1"/>
  </cols>
  <sheetData>
    <row r="1" spans="1:18" ht="59.25" customHeight="1">
      <c r="A1" s="18" t="s">
        <v>0</v>
      </c>
      <c r="B1" s="16"/>
      <c r="C1" s="16"/>
      <c r="D1" s="16"/>
      <c r="E1" s="16"/>
      <c r="F1" s="16"/>
      <c r="G1" s="16"/>
      <c r="H1" s="16"/>
      <c r="I1" s="16"/>
      <c r="J1" s="18"/>
      <c r="K1" s="16"/>
      <c r="L1" s="16"/>
      <c r="M1" s="16"/>
      <c r="N1" s="16"/>
      <c r="O1" s="16"/>
      <c r="P1" s="16"/>
      <c r="Q1" s="16"/>
      <c r="R1" s="16"/>
    </row>
    <row r="2" spans="1:18" ht="102" customHeight="1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1"/>
      <c r="O2" s="11"/>
      <c r="P2" s="11"/>
      <c r="Q2" s="11"/>
      <c r="R2" s="11"/>
    </row>
    <row r="3" spans="1:18" ht="108.75" customHeight="1">
      <c r="A3" s="12" t="s">
        <v>14</v>
      </c>
      <c r="B3" s="1" t="s">
        <v>15</v>
      </c>
      <c r="C3" s="1" t="s">
        <v>16</v>
      </c>
      <c r="D3" s="1">
        <v>0.72</v>
      </c>
      <c r="E3" s="1">
        <v>0</v>
      </c>
      <c r="F3" s="1">
        <v>2.8800000000000002E-3</v>
      </c>
      <c r="G3" s="1">
        <f t="shared" ref="G3:G11" si="0">E3-F3</f>
        <v>-2.8800000000000002E-3</v>
      </c>
      <c r="H3" s="1" t="s">
        <v>17</v>
      </c>
      <c r="I3" s="1">
        <v>3</v>
      </c>
      <c r="J3" s="1">
        <v>-3</v>
      </c>
      <c r="K3" s="1" t="str">
        <f>IF(AND(E3+F3&lt;=I3,E3-F3&gt;=J3),"соответствует","не соответствует")</f>
        <v>соответствует</v>
      </c>
      <c r="L3" s="2">
        <v>46389</v>
      </c>
      <c r="M3" s="1" t="s">
        <v>18</v>
      </c>
      <c r="N3" s="1"/>
      <c r="O3" s="1"/>
      <c r="P3" s="1"/>
      <c r="Q3" s="1"/>
      <c r="R3" s="1"/>
    </row>
    <row r="4" spans="1:18" ht="28.5" customHeight="1">
      <c r="B4" s="1" t="s">
        <v>19</v>
      </c>
      <c r="D4">
        <v>1.8</v>
      </c>
      <c r="E4">
        <v>0.01</v>
      </c>
      <c r="F4" s="1">
        <v>7.1999999999999998E-3</v>
      </c>
      <c r="G4">
        <f t="shared" si="0"/>
        <v>2.8000000000000004E-3</v>
      </c>
      <c r="I4" s="1">
        <v>3</v>
      </c>
      <c r="J4" s="1">
        <v>-3</v>
      </c>
      <c r="K4" s="1" t="str">
        <f>IF(ABS(E4)+F4&lt;=I4, "соответствует", "не соответствует")</f>
        <v>соответствует</v>
      </c>
    </row>
    <row r="5" spans="1:18">
      <c r="D5">
        <v>3.6</v>
      </c>
      <c r="E5">
        <v>0.01</v>
      </c>
      <c r="F5" s="1">
        <v>1.44E-2</v>
      </c>
      <c r="G5">
        <f t="shared" si="0"/>
        <v>-4.3999999999999994E-3</v>
      </c>
      <c r="I5" s="1">
        <v>3</v>
      </c>
      <c r="J5" s="1">
        <v>-3</v>
      </c>
      <c r="K5" s="1" t="str">
        <f>IF(OR(E5+F5&gt;I5, E5-F5&lt;J5), "не соответствует", "соответствует")</f>
        <v>соответствует</v>
      </c>
    </row>
    <row r="6" spans="1:18">
      <c r="D6">
        <v>7.2</v>
      </c>
      <c r="E6">
        <v>-0.01</v>
      </c>
      <c r="F6" s="1">
        <v>2.8799999999999999E-2</v>
      </c>
      <c r="G6">
        <f t="shared" si="0"/>
        <v>-3.8800000000000001E-2</v>
      </c>
      <c r="I6" s="1">
        <v>3</v>
      </c>
      <c r="J6" s="1">
        <v>-3</v>
      </c>
      <c r="K6" s="1" t="str">
        <f t="shared" ref="K6:K11" si="1">IF(AND(E6+F6&lt;=I6,E6-F6&gt;=J6),"соответствует","не соответствует")</f>
        <v>соответствует</v>
      </c>
    </row>
    <row r="7" spans="1:18">
      <c r="C7" t="s">
        <v>20</v>
      </c>
      <c r="D7">
        <v>18</v>
      </c>
      <c r="E7">
        <v>0</v>
      </c>
      <c r="F7" s="1">
        <v>7.1999999999999995E-2</v>
      </c>
      <c r="G7">
        <f t="shared" si="0"/>
        <v>-7.1999999999999995E-2</v>
      </c>
      <c r="I7" s="1">
        <v>3</v>
      </c>
      <c r="J7" s="1">
        <v>-3</v>
      </c>
      <c r="K7" s="1" t="str">
        <f t="shared" si="1"/>
        <v>соответствует</v>
      </c>
    </row>
    <row r="8" spans="1:18">
      <c r="D8">
        <v>25.2</v>
      </c>
      <c r="E8">
        <v>0.02</v>
      </c>
      <c r="F8" s="1">
        <v>0.1008</v>
      </c>
      <c r="G8">
        <f t="shared" si="0"/>
        <v>-8.0799999999999997E-2</v>
      </c>
      <c r="I8" s="1">
        <v>3</v>
      </c>
      <c r="J8" s="1">
        <v>-3</v>
      </c>
      <c r="K8" s="1" t="str">
        <f t="shared" si="1"/>
        <v>соответствует</v>
      </c>
    </row>
    <row r="9" spans="1:18">
      <c r="D9">
        <v>54</v>
      </c>
      <c r="E9">
        <v>0.1</v>
      </c>
      <c r="F9" s="1">
        <v>0.216</v>
      </c>
      <c r="G9">
        <f t="shared" si="0"/>
        <v>-0.11599999999999999</v>
      </c>
      <c r="I9" s="1">
        <v>3</v>
      </c>
      <c r="J9" s="1">
        <v>-3</v>
      </c>
      <c r="K9" s="1" t="str">
        <f t="shared" si="1"/>
        <v>соответствует</v>
      </c>
    </row>
    <row r="10" spans="1:18">
      <c r="D10">
        <v>108</v>
      </c>
      <c r="E10">
        <v>0.1</v>
      </c>
      <c r="F10" s="1">
        <v>0.432</v>
      </c>
      <c r="G10">
        <f t="shared" si="0"/>
        <v>-0.33199999999999996</v>
      </c>
      <c r="I10" s="1">
        <v>3</v>
      </c>
      <c r="J10" s="1">
        <v>-3</v>
      </c>
      <c r="K10" s="1" t="str">
        <f t="shared" si="1"/>
        <v>соответствует</v>
      </c>
    </row>
    <row r="11" spans="1:18">
      <c r="D11">
        <v>180</v>
      </c>
      <c r="E11">
        <v>0.2</v>
      </c>
      <c r="F11" s="1">
        <v>0.72</v>
      </c>
      <c r="G11">
        <f t="shared" si="0"/>
        <v>-0.52</v>
      </c>
      <c r="I11" s="1">
        <v>3</v>
      </c>
      <c r="J11" s="1">
        <v>-3</v>
      </c>
      <c r="K11" s="1" t="str">
        <f t="shared" si="1"/>
        <v>соответствует</v>
      </c>
    </row>
    <row r="12" spans="1:18">
      <c r="F12" s="1"/>
      <c r="I12" s="1"/>
      <c r="J12" s="1"/>
      <c r="K12" s="1"/>
    </row>
    <row r="13" spans="1:18">
      <c r="D13">
        <v>1</v>
      </c>
      <c r="E13">
        <v>0</v>
      </c>
      <c r="F13" s="1">
        <v>1.6000000000000001E-3</v>
      </c>
      <c r="G13">
        <f>E13-F13</f>
        <v>-1.6000000000000001E-3</v>
      </c>
      <c r="I13" s="1">
        <v>0.5</v>
      </c>
      <c r="J13" s="1">
        <v>-0.5</v>
      </c>
      <c r="K13" s="1" t="str">
        <f>IF(AND((E13+F13)&lt;=I13,(E13-F13)&gt;=J13),"соответствует","не соответствует")</f>
        <v>соответствует</v>
      </c>
    </row>
    <row r="14" spans="1:18">
      <c r="D14">
        <v>5</v>
      </c>
      <c r="E14">
        <v>0</v>
      </c>
      <c r="F14" s="1">
        <v>8.0000000000000002E-3</v>
      </c>
      <c r="G14">
        <f>E14-F14</f>
        <v>-8.0000000000000002E-3</v>
      </c>
      <c r="I14" s="1">
        <v>0.5</v>
      </c>
      <c r="J14" s="1">
        <v>-0.5</v>
      </c>
      <c r="K14" s="1" t="str">
        <f>IF(AND((E14+F14)&lt;=I14,(E14-F14)&gt;=J14),"соответствует","не соответствует")</f>
        <v>соответствует</v>
      </c>
    </row>
    <row r="15" spans="1:18">
      <c r="C15" t="s">
        <v>21</v>
      </c>
      <c r="D15">
        <v>20</v>
      </c>
      <c r="E15">
        <v>0</v>
      </c>
      <c r="F15" s="1">
        <v>3.2000000000000001E-2</v>
      </c>
      <c r="G15">
        <f>E15-F15</f>
        <v>-3.2000000000000001E-2</v>
      </c>
      <c r="I15" s="1">
        <v>0.5</v>
      </c>
      <c r="J15" s="1">
        <v>-0.5</v>
      </c>
      <c r="K15" s="1" t="str">
        <f>IF(AND((E15+F15)&lt;=I15,(E15-F15)&gt;=J15),"соответствует","не соответствует")</f>
        <v>соответствует</v>
      </c>
    </row>
    <row r="16" spans="1:18">
      <c r="D16">
        <v>100</v>
      </c>
      <c r="E16">
        <v>0.1</v>
      </c>
      <c r="F16" s="1">
        <v>0.16</v>
      </c>
      <c r="G16">
        <f>E16-F16</f>
        <v>-0.06</v>
      </c>
      <c r="I16" s="1">
        <v>0.5</v>
      </c>
      <c r="J16" s="1">
        <v>-0.5</v>
      </c>
      <c r="K16" s="1" t="str">
        <f>IF(AND((E16+F16)&lt;=I16,(E16-F16)&gt;=J16),"соответствует","не соответствует")</f>
        <v>соответствует</v>
      </c>
    </row>
    <row r="17" spans="1:18">
      <c r="D17">
        <v>200</v>
      </c>
      <c r="E17">
        <v>0.1</v>
      </c>
      <c r="F17" s="1">
        <v>0.32</v>
      </c>
      <c r="G17">
        <f>E17-F17</f>
        <v>-0.22</v>
      </c>
      <c r="I17" s="1">
        <v>0.5</v>
      </c>
      <c r="J17" s="1">
        <v>-0.5</v>
      </c>
      <c r="K17" s="1" t="str">
        <f>IF(AND((E17+F17)&lt;=I17,(E17-F17)&gt;=J17),"соответствует","не соответствует")</f>
        <v>соответствует</v>
      </c>
      <c r="M17" s="1"/>
    </row>
    <row r="18" spans="1:18">
      <c r="M18" s="1"/>
    </row>
    <row r="19" spans="1:18" ht="45" customHeight="1">
      <c r="A19" s="12" t="s">
        <v>22</v>
      </c>
      <c r="B19" t="s">
        <v>23</v>
      </c>
      <c r="C19" t="s">
        <v>24</v>
      </c>
      <c r="D19">
        <v>5</v>
      </c>
      <c r="E19">
        <v>1.1000000000000001</v>
      </c>
      <c r="F19" s="1">
        <v>0.09</v>
      </c>
      <c r="G19">
        <f>E19-F19</f>
        <v>1.01</v>
      </c>
      <c r="H19" t="s">
        <v>25</v>
      </c>
      <c r="I19" s="1">
        <f>E19+F19</f>
        <v>1.1900000000000002</v>
      </c>
      <c r="J19" s="1">
        <f>E19-F19</f>
        <v>1.01</v>
      </c>
      <c r="K19" s="1" t="str">
        <f>IF(AND((E19+F19)&lt;=I19,(E19-F19)&gt;=J19),"соответствует","не соответствует")</f>
        <v>соответствует</v>
      </c>
      <c r="L19" s="2">
        <v>46401</v>
      </c>
      <c r="N19" s="1"/>
      <c r="O19" s="1"/>
      <c r="P19" s="1"/>
      <c r="Q19" s="1"/>
      <c r="R19" s="1"/>
    </row>
    <row r="20" spans="1:18">
      <c r="F20" s="1"/>
      <c r="I20" s="1"/>
      <c r="J20" s="1"/>
      <c r="K20" s="1"/>
    </row>
    <row r="21" spans="1:18">
      <c r="F21" s="1"/>
      <c r="I21" s="1"/>
      <c r="J21" s="1"/>
      <c r="K21" s="1"/>
    </row>
    <row r="22" spans="1:18">
      <c r="F22" s="1"/>
      <c r="I22" s="1"/>
      <c r="J22" s="1"/>
      <c r="K22" s="1"/>
    </row>
    <row r="23" spans="1:18">
      <c r="F23" s="1"/>
      <c r="I23" s="1"/>
      <c r="J23" s="1"/>
      <c r="K23" s="1"/>
    </row>
    <row r="24" spans="1:18">
      <c r="F24" s="1"/>
      <c r="I24" s="1"/>
      <c r="J24" s="1"/>
      <c r="K24" s="1"/>
    </row>
    <row r="25" spans="1:18">
      <c r="F25" s="1"/>
      <c r="I25" s="1"/>
      <c r="J25" s="1"/>
      <c r="K25" s="1"/>
    </row>
    <row r="26" spans="1:18" ht="30" customHeight="1">
      <c r="A26" s="12" t="s">
        <v>26</v>
      </c>
      <c r="B26" t="s">
        <v>27</v>
      </c>
      <c r="C26" t="s">
        <v>28</v>
      </c>
      <c r="D26">
        <v>7.8</v>
      </c>
      <c r="E26">
        <v>0</v>
      </c>
      <c r="F26" s="1">
        <v>0.06</v>
      </c>
      <c r="G26">
        <f>E26-F26</f>
        <v>-0.06</v>
      </c>
      <c r="H26" t="s">
        <v>29</v>
      </c>
      <c r="I26" s="1">
        <f>E26+F26</f>
        <v>0.06</v>
      </c>
      <c r="J26" s="1">
        <f>E26-F26</f>
        <v>-0.06</v>
      </c>
      <c r="K26" s="1" t="str">
        <f>IF(AND((E26+F26)&lt;=I26,(E26-F26)&gt;=J26),"соответствует","не соответствует")</f>
        <v>соответствует</v>
      </c>
      <c r="L26" s="2">
        <v>46406</v>
      </c>
    </row>
    <row r="27" spans="1:18">
      <c r="A27" s="1"/>
      <c r="D27">
        <v>21.2</v>
      </c>
      <c r="E27">
        <v>0.1</v>
      </c>
      <c r="F27" s="1">
        <v>0.06</v>
      </c>
      <c r="G27">
        <f>E27-F27</f>
        <v>4.0000000000000008E-2</v>
      </c>
      <c r="I27" s="1">
        <f>E27+F27</f>
        <v>0.16</v>
      </c>
      <c r="J27" s="1">
        <f>E27-F27</f>
        <v>4.0000000000000008E-2</v>
      </c>
      <c r="K27" s="1" t="str">
        <f>IF(AND((E27+F27)&lt;=I27,(E27-F27)&gt;=J27),"соответствует","не соответствует")</f>
        <v>соответствует</v>
      </c>
      <c r="L27" s="2"/>
    </row>
    <row r="28" spans="1:18">
      <c r="A28" s="1"/>
      <c r="D28">
        <v>57.5</v>
      </c>
      <c r="E28">
        <v>0.2</v>
      </c>
      <c r="F28" s="1">
        <v>0.06</v>
      </c>
      <c r="G28">
        <f>E28-F28</f>
        <v>0.14000000000000001</v>
      </c>
      <c r="I28" s="1">
        <f>E28+F28</f>
        <v>0.26</v>
      </c>
      <c r="J28" s="1">
        <f>E28-F28</f>
        <v>0.14000000000000001</v>
      </c>
      <c r="K28" s="1" t="str">
        <f>IF(AND((E28+F28)&lt;=I28,(E28-F28)&gt;=J28),"соответствует","не соответствует")</f>
        <v>соответствует</v>
      </c>
      <c r="L28" s="2"/>
    </row>
    <row r="29" spans="1:18">
      <c r="A29" s="1"/>
      <c r="D29">
        <v>81.2</v>
      </c>
      <c r="E29">
        <v>0.2</v>
      </c>
      <c r="F29" s="1">
        <v>0.06</v>
      </c>
      <c r="G29">
        <f>E29-F29</f>
        <v>0.14000000000000001</v>
      </c>
      <c r="I29" s="1">
        <f>E29+F29</f>
        <v>0.26</v>
      </c>
      <c r="J29" s="1">
        <f>E29-F29</f>
        <v>0.14000000000000001</v>
      </c>
      <c r="K29" s="1" t="str">
        <f>IF(AND((E29+F29)&lt;=I29,(E29-F29)&gt;=J29),"соответствует","не соответствует")</f>
        <v>соответствует</v>
      </c>
      <c r="L29" s="2"/>
    </row>
    <row r="30" spans="1:18">
      <c r="A30" s="1"/>
      <c r="F30" s="1"/>
      <c r="I30" s="1"/>
      <c r="J30" s="1"/>
      <c r="K30" s="1"/>
      <c r="L30" s="2"/>
    </row>
    <row r="31" spans="1:18">
      <c r="A31" s="1"/>
      <c r="F31" s="1"/>
      <c r="I31" s="1"/>
      <c r="J31" s="1"/>
      <c r="K31" s="1"/>
      <c r="L31" s="2"/>
    </row>
    <row r="32" spans="1:18">
      <c r="A32" s="1"/>
      <c r="F32" s="1"/>
      <c r="I32" s="1"/>
      <c r="J32" s="1"/>
      <c r="K32" s="1"/>
      <c r="L32" s="2"/>
    </row>
    <row r="33" spans="1:12">
      <c r="F33" s="1"/>
      <c r="I33" s="1"/>
      <c r="J33" s="1"/>
      <c r="K33" s="1"/>
    </row>
    <row r="34" spans="1:12" ht="30" customHeight="1">
      <c r="A34" s="12" t="s">
        <v>30</v>
      </c>
      <c r="B34" t="s">
        <v>31</v>
      </c>
      <c r="C34" t="s">
        <v>32</v>
      </c>
      <c r="D34">
        <v>40</v>
      </c>
      <c r="E34">
        <v>-1</v>
      </c>
      <c r="F34" s="1">
        <v>2</v>
      </c>
      <c r="G34">
        <f>E34-F34</f>
        <v>-3</v>
      </c>
      <c r="H34" t="s">
        <v>33</v>
      </c>
      <c r="I34" s="1">
        <v>5</v>
      </c>
      <c r="J34" s="1">
        <v>-5</v>
      </c>
      <c r="K34" s="1" t="str">
        <f>IF(AND((E34+F34)&lt;=I34,(E34-F34)&gt;=J34),"соответствует","не соответствует")</f>
        <v>соответствует</v>
      </c>
      <c r="L34" s="2">
        <v>46470</v>
      </c>
    </row>
    <row r="35" spans="1:12">
      <c r="D35">
        <v>60</v>
      </c>
      <c r="E35">
        <v>-1</v>
      </c>
      <c r="F35" s="1">
        <v>2</v>
      </c>
      <c r="G35">
        <f>E35-F35</f>
        <v>-3</v>
      </c>
      <c r="I35" s="1">
        <v>5</v>
      </c>
      <c r="J35" s="1">
        <v>-5</v>
      </c>
      <c r="K35" s="1" t="str">
        <f>IF(AND((E35+F35)&lt;=I35,(E35-F35)&gt;=J35),"соответствует","не соответствует")</f>
        <v>соответствует</v>
      </c>
    </row>
    <row r="36" spans="1:12">
      <c r="D36">
        <v>80</v>
      </c>
      <c r="E36">
        <v>-2</v>
      </c>
      <c r="F36" s="1">
        <v>2</v>
      </c>
      <c r="G36">
        <f>E36-F36</f>
        <v>-4</v>
      </c>
      <c r="I36" s="1">
        <v>7</v>
      </c>
      <c r="J36" s="1">
        <v>-7</v>
      </c>
      <c r="K36" s="1" t="str">
        <f>IF(AND((E36+F36)&lt;=I36,(E36-F36)&gt;=J36),"соответствует","не соответствует")</f>
        <v>соответствует</v>
      </c>
    </row>
    <row r="37" spans="1:12">
      <c r="F37" s="1"/>
      <c r="I37" s="1"/>
      <c r="J37" s="1"/>
      <c r="K37" s="1"/>
    </row>
    <row r="38" spans="1:12">
      <c r="D38">
        <v>15</v>
      </c>
      <c r="E38">
        <v>0.7</v>
      </c>
      <c r="F38" s="1">
        <v>0.5</v>
      </c>
      <c r="G38">
        <f>E38-F38</f>
        <v>0.19999999999999996</v>
      </c>
      <c r="I38" s="1">
        <v>2</v>
      </c>
      <c r="J38" s="1">
        <v>-2</v>
      </c>
      <c r="K38" s="1" t="str">
        <f>IF(AND((E38+F38)&lt;=I38,(E38-F38)&gt;=J38),"соответствует","не соответствует")</f>
        <v>соответствует</v>
      </c>
    </row>
    <row r="39" spans="1:12">
      <c r="D39">
        <v>20</v>
      </c>
      <c r="E39">
        <v>0.4</v>
      </c>
      <c r="F39" s="1">
        <v>0.5</v>
      </c>
      <c r="G39">
        <f>E39-F39</f>
        <v>-9.9999999999999978E-2</v>
      </c>
      <c r="I39" s="1">
        <v>2</v>
      </c>
      <c r="J39" s="1">
        <v>-2</v>
      </c>
      <c r="K39" s="1" t="str">
        <f>IF(AND((E39+F39)&lt;=I39,(E39-F39)&gt;=J39),"соответствует","не соответствует")</f>
        <v>соответствует</v>
      </c>
    </row>
    <row r="40" spans="1:12">
      <c r="D40">
        <v>30</v>
      </c>
      <c r="E40">
        <v>0.5</v>
      </c>
      <c r="F40" s="1">
        <v>0.5</v>
      </c>
      <c r="G40">
        <f>E40-F40</f>
        <v>0</v>
      </c>
      <c r="I40" s="1">
        <v>2</v>
      </c>
      <c r="J40" s="1">
        <v>-2</v>
      </c>
      <c r="K40" s="1" t="str">
        <f>IF(AND((E40+F40)&lt;=I40,(E40-F40)&gt;=J40),"соответствует","не соответствует")</f>
        <v>соответствует</v>
      </c>
    </row>
    <row r="41" spans="1:12">
      <c r="F41" s="1"/>
      <c r="I41" s="1"/>
      <c r="J41" s="1"/>
      <c r="K41" s="1"/>
    </row>
    <row r="42" spans="1:12">
      <c r="F42" s="1"/>
      <c r="I42" s="1"/>
      <c r="J42" s="1"/>
      <c r="K42" s="1"/>
    </row>
    <row r="43" spans="1:12">
      <c r="F43" s="1"/>
      <c r="I43" s="1"/>
      <c r="J43" s="1"/>
      <c r="K43" s="1"/>
    </row>
    <row r="44" spans="1:12">
      <c r="F44" s="1"/>
      <c r="I44" s="1"/>
      <c r="J44" s="1"/>
      <c r="K44" s="1"/>
    </row>
    <row r="45" spans="1:12">
      <c r="F45" s="1"/>
      <c r="I45" s="1"/>
      <c r="J45" s="1"/>
      <c r="K45" s="1"/>
    </row>
    <row r="46" spans="1:12" ht="30" customHeight="1">
      <c r="A46" s="12" t="s">
        <v>34</v>
      </c>
      <c r="B46" t="s">
        <v>35</v>
      </c>
      <c r="C46" t="s">
        <v>36</v>
      </c>
      <c r="D46">
        <v>5</v>
      </c>
      <c r="E46">
        <v>0</v>
      </c>
      <c r="F46" s="1">
        <v>0.02</v>
      </c>
      <c r="G46">
        <f>E46-F46</f>
        <v>-0.02</v>
      </c>
      <c r="H46" t="s">
        <v>37</v>
      </c>
      <c r="I46" s="1">
        <v>0.05</v>
      </c>
      <c r="J46" s="1">
        <v>-0.05</v>
      </c>
      <c r="K46" s="1" t="str">
        <f>IF(AND((E46+F46)&lt;=I46,(E46-F46)&gt;=J46),"соответствует","не соответствует")</f>
        <v>соответствует</v>
      </c>
      <c r="L46" s="2">
        <v>45975</v>
      </c>
    </row>
    <row r="47" spans="1:12">
      <c r="D47">
        <v>60</v>
      </c>
      <c r="E47">
        <v>0</v>
      </c>
      <c r="F47" s="1">
        <v>0.02</v>
      </c>
      <c r="G47">
        <f>E47-F47</f>
        <v>-0.02</v>
      </c>
      <c r="I47" s="1">
        <v>0.05</v>
      </c>
      <c r="J47" s="1">
        <v>-0.05</v>
      </c>
      <c r="K47" s="1" t="str">
        <f>IF(AND((E47+F47)&lt;=I47,(E47-F47)&gt;=J47),"соответствует","не соответствует")</f>
        <v>соответствует</v>
      </c>
    </row>
    <row r="48" spans="1:12">
      <c r="D48">
        <v>180</v>
      </c>
      <c r="E48">
        <v>0</v>
      </c>
      <c r="F48" s="1">
        <v>0.02</v>
      </c>
      <c r="G48">
        <f>E48-F48</f>
        <v>-0.02</v>
      </c>
      <c r="I48" s="1">
        <v>0.05</v>
      </c>
      <c r="J48" s="1">
        <v>-0.05</v>
      </c>
      <c r="K48" s="1" t="str">
        <f>IF(AND((E48+F48)&lt;=I48,(E48-F48)&gt;=J48),"соответствует","не соответствует")</f>
        <v>соответствует</v>
      </c>
    </row>
    <row r="49" spans="1:12">
      <c r="D49">
        <v>1800</v>
      </c>
      <c r="E49">
        <v>0.02</v>
      </c>
      <c r="F49" s="1">
        <v>0.02</v>
      </c>
      <c r="G49">
        <f>E49-F49</f>
        <v>0</v>
      </c>
      <c r="I49" s="1">
        <v>7.0000000000000007E-2</v>
      </c>
      <c r="J49" s="1">
        <v>-7.0000000000000007E-2</v>
      </c>
      <c r="K49" s="1" t="str">
        <f>IF(AND((E49+F49)&lt;=I49,(E49-F49)&gt;=J49),"соответствует","не соответствует")</f>
        <v>соответствует</v>
      </c>
    </row>
    <row r="50" spans="1:12">
      <c r="D50">
        <v>3600</v>
      </c>
      <c r="E50">
        <v>0.02</v>
      </c>
      <c r="F50" s="1">
        <v>0.02</v>
      </c>
      <c r="G50">
        <f>E50-F50</f>
        <v>0</v>
      </c>
      <c r="I50" s="1">
        <v>0.1</v>
      </c>
      <c r="J50" s="1">
        <v>-0.1</v>
      </c>
      <c r="K50" s="1" t="str">
        <f>IF(AND((E50+F50)&lt;=I50,(E50-F50)&gt;=J50),"соответствует","не соответствует")</f>
        <v>соответствует</v>
      </c>
    </row>
    <row r="51" spans="1:12">
      <c r="F51" s="1"/>
      <c r="I51" s="1"/>
      <c r="J51" s="1"/>
      <c r="K51" s="1"/>
    </row>
    <row r="52" spans="1:12" ht="45" customHeight="1">
      <c r="A52" s="12" t="s">
        <v>38</v>
      </c>
      <c r="B52" t="s">
        <v>39</v>
      </c>
      <c r="C52" t="s">
        <v>40</v>
      </c>
      <c r="D52">
        <v>6.02</v>
      </c>
      <c r="E52">
        <v>0.13</v>
      </c>
      <c r="F52" s="1">
        <v>0.15</v>
      </c>
      <c r="G52">
        <f t="shared" ref="G52:G63" si="2">E52-F52</f>
        <v>-1.999999999999999E-2</v>
      </c>
      <c r="H52" t="s">
        <v>41</v>
      </c>
      <c r="I52" s="1">
        <f t="shared" ref="I52:I63" si="3">E52+F52</f>
        <v>0.28000000000000003</v>
      </c>
      <c r="J52" s="1">
        <f t="shared" ref="J52:J63" si="4">E52-F52</f>
        <v>-1.999999999999999E-2</v>
      </c>
      <c r="K52" s="1" t="str">
        <f t="shared" ref="K52:K63" si="5">IF(AND(E52&lt;=I52,E52&gt;=J52),"соответствует","не соответствует")</f>
        <v>соответствует</v>
      </c>
      <c r="L52" s="13" t="s">
        <v>42</v>
      </c>
    </row>
    <row r="53" spans="1:12">
      <c r="D53">
        <v>15.9</v>
      </c>
      <c r="E53">
        <v>0</v>
      </c>
      <c r="F53" s="1">
        <v>0.41</v>
      </c>
      <c r="G53">
        <f t="shared" si="2"/>
        <v>-0.41</v>
      </c>
      <c r="I53" s="1">
        <f t="shared" si="3"/>
        <v>0.41</v>
      </c>
      <c r="J53" s="1">
        <f t="shared" si="4"/>
        <v>-0.41</v>
      </c>
      <c r="K53" s="1" t="str">
        <f t="shared" si="5"/>
        <v>соответствует</v>
      </c>
    </row>
    <row r="54" spans="1:12">
      <c r="C54" t="s">
        <v>43</v>
      </c>
      <c r="D54">
        <v>24.1</v>
      </c>
      <c r="E54">
        <v>-0.1</v>
      </c>
      <c r="F54" s="1">
        <v>0.62</v>
      </c>
      <c r="G54">
        <f t="shared" si="2"/>
        <v>-0.72</v>
      </c>
      <c r="I54" s="1">
        <f t="shared" si="3"/>
        <v>0.52</v>
      </c>
      <c r="J54" s="1">
        <f t="shared" si="4"/>
        <v>-0.72</v>
      </c>
      <c r="K54" s="1" t="str">
        <f t="shared" si="5"/>
        <v>соответствует</v>
      </c>
    </row>
    <row r="55" spans="1:12">
      <c r="D55">
        <v>19.8</v>
      </c>
      <c r="E55">
        <v>0.3</v>
      </c>
      <c r="F55" s="1">
        <v>0.39600000000000002</v>
      </c>
      <c r="G55">
        <f t="shared" si="2"/>
        <v>-9.600000000000003E-2</v>
      </c>
      <c r="I55" s="1">
        <f t="shared" si="3"/>
        <v>0.69599999999999995</v>
      </c>
      <c r="J55" s="1">
        <f t="shared" si="4"/>
        <v>-9.600000000000003E-2</v>
      </c>
      <c r="K55" s="1" t="str">
        <f t="shared" si="5"/>
        <v>соответствует</v>
      </c>
    </row>
    <row r="56" spans="1:12">
      <c r="C56" t="s">
        <v>44</v>
      </c>
      <c r="D56">
        <v>49.9</v>
      </c>
      <c r="E56">
        <v>0.2</v>
      </c>
      <c r="F56" s="1">
        <v>0.998</v>
      </c>
      <c r="G56">
        <f t="shared" si="2"/>
        <v>-0.79800000000000004</v>
      </c>
      <c r="I56" s="1">
        <f t="shared" si="3"/>
        <v>1.198</v>
      </c>
      <c r="J56" s="1">
        <f t="shared" si="4"/>
        <v>-0.79800000000000004</v>
      </c>
      <c r="K56" s="1" t="str">
        <f t="shared" si="5"/>
        <v>соответствует</v>
      </c>
    </row>
    <row r="57" spans="1:12">
      <c r="D57">
        <v>61.1</v>
      </c>
      <c r="E57">
        <v>-0.5</v>
      </c>
      <c r="F57" s="1">
        <v>1.22</v>
      </c>
      <c r="G57">
        <f t="shared" si="2"/>
        <v>-1.72</v>
      </c>
      <c r="I57" s="1">
        <f t="shared" si="3"/>
        <v>0.72</v>
      </c>
      <c r="J57" s="1">
        <f t="shared" si="4"/>
        <v>-1.72</v>
      </c>
      <c r="K57" s="1" t="str">
        <f t="shared" si="5"/>
        <v>соответствует</v>
      </c>
    </row>
    <row r="58" spans="1:12">
      <c r="D58">
        <v>39.700000000000003</v>
      </c>
      <c r="E58">
        <v>-0.4</v>
      </c>
      <c r="F58" s="1">
        <v>0.71</v>
      </c>
      <c r="G58">
        <f t="shared" si="2"/>
        <v>-1.1099999999999999</v>
      </c>
      <c r="I58" s="1">
        <f t="shared" si="3"/>
        <v>0.30999999999999994</v>
      </c>
      <c r="J58" s="1">
        <f t="shared" si="4"/>
        <v>-1.1099999999999999</v>
      </c>
      <c r="K58" s="1" t="str">
        <f t="shared" si="5"/>
        <v>соответствует</v>
      </c>
    </row>
    <row r="59" spans="1:12">
      <c r="C59" t="s">
        <v>45</v>
      </c>
      <c r="D59">
        <v>249.6</v>
      </c>
      <c r="E59">
        <v>1.7</v>
      </c>
      <c r="F59" s="1">
        <v>4.49</v>
      </c>
      <c r="G59">
        <f t="shared" si="2"/>
        <v>-2.79</v>
      </c>
      <c r="I59" s="1">
        <f t="shared" si="3"/>
        <v>6.19</v>
      </c>
      <c r="J59" s="1">
        <f t="shared" si="4"/>
        <v>-2.79</v>
      </c>
      <c r="K59" s="1" t="str">
        <f t="shared" si="5"/>
        <v>соответствует</v>
      </c>
    </row>
    <row r="60" spans="1:12">
      <c r="D60">
        <v>351.2</v>
      </c>
      <c r="E60">
        <v>-3.2</v>
      </c>
      <c r="F60" s="1">
        <v>6.32</v>
      </c>
      <c r="G60">
        <f t="shared" si="2"/>
        <v>-9.52</v>
      </c>
      <c r="I60" s="1">
        <f t="shared" si="3"/>
        <v>3.12</v>
      </c>
      <c r="J60" s="1">
        <f t="shared" si="4"/>
        <v>-9.52</v>
      </c>
      <c r="K60" s="1" t="str">
        <f t="shared" si="5"/>
        <v>соответствует</v>
      </c>
    </row>
    <row r="61" spans="1:12">
      <c r="D61">
        <v>49.9</v>
      </c>
      <c r="E61">
        <v>0.6</v>
      </c>
      <c r="F61" s="1">
        <v>0.59</v>
      </c>
      <c r="G61">
        <f t="shared" si="2"/>
        <v>1.0000000000000009E-2</v>
      </c>
      <c r="I61" s="1">
        <f t="shared" si="3"/>
        <v>1.19</v>
      </c>
      <c r="J61" s="1">
        <f t="shared" si="4"/>
        <v>1.0000000000000009E-2</v>
      </c>
      <c r="K61" s="1" t="str">
        <f t="shared" si="5"/>
        <v>соответствует</v>
      </c>
    </row>
    <row r="62" spans="1:12">
      <c r="C62" t="s">
        <v>46</v>
      </c>
      <c r="D62">
        <v>99.8</v>
      </c>
      <c r="E62">
        <v>1.3</v>
      </c>
      <c r="F62" s="1">
        <v>1.19</v>
      </c>
      <c r="G62">
        <f t="shared" si="2"/>
        <v>0.1100000000000001</v>
      </c>
      <c r="I62" s="1">
        <f t="shared" si="3"/>
        <v>2.4900000000000002</v>
      </c>
      <c r="J62" s="1">
        <f t="shared" si="4"/>
        <v>0.1100000000000001</v>
      </c>
      <c r="K62" s="1" t="str">
        <f t="shared" si="5"/>
        <v>соответствует</v>
      </c>
    </row>
    <row r="63" spans="1:12">
      <c r="D63">
        <v>199.6</v>
      </c>
      <c r="E63">
        <v>0.4</v>
      </c>
      <c r="F63" s="1">
        <v>2.39</v>
      </c>
      <c r="G63">
        <f t="shared" si="2"/>
        <v>-1.9900000000000002</v>
      </c>
      <c r="I63" s="1">
        <f t="shared" si="3"/>
        <v>2.79</v>
      </c>
      <c r="J63" s="1">
        <f t="shared" si="4"/>
        <v>-1.9900000000000002</v>
      </c>
      <c r="K63" s="1" t="str">
        <f t="shared" si="5"/>
        <v>соответствует</v>
      </c>
    </row>
    <row r="64" spans="1:12">
      <c r="F64" s="1"/>
      <c r="I64" s="1"/>
      <c r="J64" s="1"/>
      <c r="K64" s="1"/>
    </row>
    <row r="65" spans="1:12">
      <c r="F65" s="1"/>
      <c r="I65" s="1"/>
      <c r="J65" s="1"/>
      <c r="K65" s="1"/>
    </row>
    <row r="66" spans="1:12">
      <c r="F66" s="1"/>
      <c r="I66" s="1"/>
      <c r="J66" s="1"/>
      <c r="K66" s="1"/>
    </row>
    <row r="67" spans="1:12" ht="45" customHeight="1">
      <c r="A67" s="12" t="s">
        <v>47</v>
      </c>
      <c r="B67" t="s">
        <v>48</v>
      </c>
      <c r="C67" t="s">
        <v>49</v>
      </c>
      <c r="D67">
        <v>200</v>
      </c>
      <c r="E67">
        <v>0.01</v>
      </c>
      <c r="F67" s="1">
        <v>0.05</v>
      </c>
      <c r="G67">
        <f>E67-F67</f>
        <v>-0.04</v>
      </c>
      <c r="H67" t="s">
        <v>50</v>
      </c>
      <c r="I67" s="1">
        <f>E67+F67</f>
        <v>6.0000000000000005E-2</v>
      </c>
      <c r="J67" s="1">
        <f>E67-F67</f>
        <v>-0.04</v>
      </c>
      <c r="K67" s="1" t="str">
        <f>IF(AND(E67&lt;=I67,E67&gt;=J67),"соответствует","не соответствует")</f>
        <v>соответствует</v>
      </c>
      <c r="L67" s="2">
        <v>46470</v>
      </c>
    </row>
    <row r="68" spans="1:12">
      <c r="D68">
        <v>500</v>
      </c>
      <c r="E68">
        <v>-0.02</v>
      </c>
      <c r="F68" s="1">
        <v>0.05</v>
      </c>
      <c r="G68">
        <f>E68-F68</f>
        <v>-7.0000000000000007E-2</v>
      </c>
      <c r="I68" s="1">
        <f>E68+F68</f>
        <v>3.0000000000000002E-2</v>
      </c>
      <c r="J68" s="1">
        <f>E68-F68</f>
        <v>-7.0000000000000007E-2</v>
      </c>
      <c r="K68" s="1" t="str">
        <f>IF(AND(E68&lt;=I68,E68&gt;=J68),"соответствует","не соответствует")</f>
        <v>соответствует</v>
      </c>
    </row>
    <row r="69" spans="1:12">
      <c r="D69">
        <v>600</v>
      </c>
      <c r="E69">
        <v>-0.04</v>
      </c>
      <c r="F69" s="1">
        <v>0.05</v>
      </c>
      <c r="G69">
        <f>E69-F69</f>
        <v>-0.09</v>
      </c>
      <c r="I69" s="1">
        <f>E69+F69</f>
        <v>1.0000000000000002E-2</v>
      </c>
      <c r="J69" s="1">
        <f>E69-F69</f>
        <v>-0.09</v>
      </c>
      <c r="K69" s="1" t="str">
        <f>IF(AND(E69&lt;=I69,E69&gt;=J69),"соответствует","не соответствует")</f>
        <v>соответствует</v>
      </c>
    </row>
    <row r="70" spans="1:12">
      <c r="D70">
        <v>800</v>
      </c>
      <c r="E70">
        <v>0.02</v>
      </c>
      <c r="F70" s="1">
        <v>0.05</v>
      </c>
      <c r="G70">
        <f>E70-F70</f>
        <v>-3.0000000000000002E-2</v>
      </c>
      <c r="I70" s="1">
        <f>E70+F70</f>
        <v>7.0000000000000007E-2</v>
      </c>
      <c r="J70" s="1">
        <f>E70-F70</f>
        <v>-3.0000000000000002E-2</v>
      </c>
      <c r="K70" s="1" t="str">
        <f>IF(AND(E70&lt;=I70,E70&gt;=J70),"соответствует","не соответствует")</f>
        <v>соответствует</v>
      </c>
    </row>
    <row r="71" spans="1:12">
      <c r="D71">
        <v>1000</v>
      </c>
      <c r="E71">
        <v>-0.06</v>
      </c>
      <c r="F71" s="1">
        <v>0.05</v>
      </c>
      <c r="G71">
        <f>E71-F71</f>
        <v>-0.11</v>
      </c>
      <c r="I71" s="1">
        <f>E71+F71</f>
        <v>-9.999999999999995E-3</v>
      </c>
      <c r="J71" s="1">
        <f>E71-F71</f>
        <v>-0.11</v>
      </c>
      <c r="K71" s="1" t="str">
        <f>IF(AND(E71&lt;=I71,E71&gt;=J71),"соответствует","не соответствует")</f>
        <v>соответствует</v>
      </c>
    </row>
    <row r="72" spans="1:12">
      <c r="F72" s="1"/>
      <c r="I72" s="1"/>
      <c r="J72" s="1"/>
      <c r="K72" s="1"/>
    </row>
    <row r="73" spans="1:12" ht="30" customHeight="1">
      <c r="A73" s="12" t="s">
        <v>51</v>
      </c>
      <c r="B73" t="s">
        <v>52</v>
      </c>
      <c r="C73" t="s">
        <v>53</v>
      </c>
      <c r="D73">
        <v>50</v>
      </c>
      <c r="E73">
        <v>0.02</v>
      </c>
      <c r="F73" s="1">
        <v>0.05</v>
      </c>
      <c r="G73">
        <f>E73-F73</f>
        <v>-3.0000000000000002E-2</v>
      </c>
      <c r="H73" t="s">
        <v>54</v>
      </c>
      <c r="I73" s="1">
        <f>E73+F73</f>
        <v>7.0000000000000007E-2</v>
      </c>
      <c r="J73" s="1">
        <f>E73-F73</f>
        <v>-3.0000000000000002E-2</v>
      </c>
      <c r="K73" s="1" t="str">
        <f>IF(AND(E73&lt;=I73,E73&gt;=J73),"соответствует","не соответствует")</f>
        <v>соответствует</v>
      </c>
      <c r="L73" s="2">
        <v>46473</v>
      </c>
    </row>
    <row r="74" spans="1:12">
      <c r="D74">
        <v>100</v>
      </c>
      <c r="E74">
        <v>0.05</v>
      </c>
      <c r="F74" s="1">
        <v>0.05</v>
      </c>
      <c r="G74">
        <f>E74-F74</f>
        <v>0</v>
      </c>
      <c r="I74" s="1">
        <f>E74+F74</f>
        <v>0.1</v>
      </c>
      <c r="J74" s="1">
        <f>E74-F74</f>
        <v>0</v>
      </c>
      <c r="K74" s="1" t="str">
        <f>IF(AND(E74&lt;=I74,E74&gt;=J74),"соответствует","не соответствует")</f>
        <v>соответствует</v>
      </c>
    </row>
    <row r="75" spans="1:12">
      <c r="D75">
        <v>150</v>
      </c>
      <c r="E75">
        <v>0.04</v>
      </c>
      <c r="F75" s="1">
        <v>0.05</v>
      </c>
      <c r="G75">
        <f>E75-F75</f>
        <v>-1.0000000000000002E-2</v>
      </c>
      <c r="I75" s="1">
        <f>E75+F75</f>
        <v>0.09</v>
      </c>
      <c r="J75" s="1">
        <f>E75-F75</f>
        <v>-1.0000000000000002E-2</v>
      </c>
      <c r="K75" s="1" t="str">
        <f>IF(AND(E75&lt;=I75,E75&gt;=J75),"соответствует","не соответствует")</f>
        <v>соответствует</v>
      </c>
    </row>
    <row r="76" spans="1:12">
      <c r="D76">
        <v>200</v>
      </c>
      <c r="E76">
        <v>0.06</v>
      </c>
      <c r="F76" s="1">
        <v>0.05</v>
      </c>
      <c r="G76">
        <f>E76-F76</f>
        <v>9.999999999999995E-3</v>
      </c>
      <c r="I76" s="1">
        <f>E76+F76</f>
        <v>0.11</v>
      </c>
      <c r="J76" s="1">
        <f>E76-F76</f>
        <v>9.999999999999995E-3</v>
      </c>
      <c r="K76" s="1" t="str">
        <f>IF(AND(E76&lt;=I76,E76&gt;=J76),"соответствует","не соответствует")</f>
        <v>соответствует</v>
      </c>
    </row>
    <row r="77" spans="1:12">
      <c r="D77">
        <v>300</v>
      </c>
      <c r="E77">
        <v>7.0000000000000007E-2</v>
      </c>
      <c r="F77" s="1">
        <v>0.05</v>
      </c>
      <c r="G77">
        <f>E77-F77</f>
        <v>2.0000000000000004E-2</v>
      </c>
      <c r="I77" s="1">
        <f>E77+F77</f>
        <v>0.12000000000000001</v>
      </c>
      <c r="J77" s="1">
        <f>E77-F77</f>
        <v>2.0000000000000004E-2</v>
      </c>
      <c r="K77" s="1" t="str">
        <f>IF(AND(E77&lt;=I77,E77&gt;=J77),"соответствует","не соответствует")</f>
        <v>соответствует</v>
      </c>
    </row>
    <row r="78" spans="1:12">
      <c r="F78" s="1"/>
      <c r="I78" s="1"/>
      <c r="J78" s="1"/>
      <c r="K78" s="1"/>
    </row>
    <row r="79" spans="1:12" ht="30" customHeight="1">
      <c r="A79" s="12" t="s">
        <v>55</v>
      </c>
      <c r="B79" t="s">
        <v>56</v>
      </c>
      <c r="C79" t="s">
        <v>57</v>
      </c>
      <c r="D79">
        <v>0</v>
      </c>
      <c r="E79">
        <v>-0.01</v>
      </c>
      <c r="F79" s="1">
        <v>0.05</v>
      </c>
      <c r="G79">
        <f>E79-F79</f>
        <v>-6.0000000000000005E-2</v>
      </c>
      <c r="H79" t="s">
        <v>58</v>
      </c>
      <c r="I79" s="1">
        <f>E79+F79</f>
        <v>0.04</v>
      </c>
      <c r="J79" s="1">
        <f>E79-F79</f>
        <v>-6.0000000000000005E-2</v>
      </c>
      <c r="K79" s="1" t="str">
        <f>IF(AND(E79&lt;=I79,E79&gt;=J79),"соответствует","не соответствует")</f>
        <v>соответствует</v>
      </c>
      <c r="L79" s="2">
        <v>46470</v>
      </c>
    </row>
    <row r="80" spans="1:12">
      <c r="D80">
        <v>25</v>
      </c>
      <c r="E80">
        <v>0.08</v>
      </c>
      <c r="F80" s="1">
        <v>0.05</v>
      </c>
      <c r="G80">
        <f>E80-F80</f>
        <v>0.03</v>
      </c>
      <c r="I80" s="1">
        <f>E80+F80</f>
        <v>0.13</v>
      </c>
      <c r="J80" s="1">
        <f>E80-F80</f>
        <v>0.03</v>
      </c>
      <c r="K80" s="1" t="str">
        <f>IF(AND(E80&lt;=I80,E80&gt;=J80),"соответствует","не соответствует")</f>
        <v>соответствует</v>
      </c>
    </row>
    <row r="81" spans="1:12">
      <c r="D81">
        <v>50</v>
      </c>
      <c r="E81">
        <v>7.0000000000000007E-2</v>
      </c>
      <c r="F81" s="1">
        <v>0.05</v>
      </c>
      <c r="G81">
        <f>E81-F81</f>
        <v>2.0000000000000004E-2</v>
      </c>
      <c r="I81" s="1">
        <f>E81+F81</f>
        <v>0.12000000000000001</v>
      </c>
      <c r="J81" s="1">
        <f>E81-F81</f>
        <v>2.0000000000000004E-2</v>
      </c>
      <c r="K81" s="1" t="str">
        <f>IF(AND(E81&lt;=I81,E81&gt;=J81),"соответствует","не соответствует")</f>
        <v>соответствует</v>
      </c>
    </row>
    <row r="82" spans="1:12">
      <c r="F82" s="1"/>
      <c r="I82" s="1"/>
      <c r="J82" s="1"/>
      <c r="K82" s="1"/>
    </row>
    <row r="83" spans="1:12">
      <c r="F83" s="1"/>
      <c r="I83" s="1"/>
      <c r="J83" s="1"/>
      <c r="K83" s="1"/>
    </row>
    <row r="84" spans="1:12">
      <c r="F84" s="1"/>
      <c r="I84" s="1"/>
      <c r="J84" s="1"/>
      <c r="K84" s="1"/>
    </row>
    <row r="85" spans="1:12">
      <c r="A85" s="12" t="s">
        <v>59</v>
      </c>
      <c r="B85" t="s">
        <v>60</v>
      </c>
      <c r="C85" t="s">
        <v>61</v>
      </c>
      <c r="D85">
        <v>50</v>
      </c>
      <c r="E85">
        <v>0</v>
      </c>
      <c r="F85" s="1">
        <v>1</v>
      </c>
      <c r="G85">
        <f>E85-F85</f>
        <v>-1</v>
      </c>
      <c r="H85" t="s">
        <v>62</v>
      </c>
      <c r="I85" s="1">
        <f>E85+F85</f>
        <v>1</v>
      </c>
      <c r="J85" s="1">
        <f>E85-F85</f>
        <v>-1</v>
      </c>
      <c r="K85" s="1" t="str">
        <f>IF(AND(E85&lt;=I85,E85&gt;=J85),"соответствует","не соответствует")</f>
        <v>соответствует</v>
      </c>
      <c r="L85" s="2">
        <v>46470</v>
      </c>
    </row>
    <row r="86" spans="1:12">
      <c r="D86">
        <v>100</v>
      </c>
      <c r="E86">
        <v>1E-3</v>
      </c>
      <c r="F86" s="1">
        <v>1</v>
      </c>
      <c r="G86">
        <f>E86-F86</f>
        <v>-0.999</v>
      </c>
      <c r="I86" s="1">
        <f>E86+F86</f>
        <v>1.0009999999999999</v>
      </c>
      <c r="J86" s="1">
        <f>E86-F86</f>
        <v>-0.999</v>
      </c>
      <c r="K86" s="1" t="str">
        <f>IF(AND(E86&lt;=I86,E86&gt;=J86),"соответствует","не соответствует")</f>
        <v>соответствует</v>
      </c>
    </row>
    <row r="87" spans="1:12">
      <c r="D87">
        <v>200</v>
      </c>
      <c r="E87">
        <v>-1E-3</v>
      </c>
      <c r="F87" s="1">
        <v>1</v>
      </c>
      <c r="G87">
        <f>E87-F87</f>
        <v>-1.0009999999999999</v>
      </c>
      <c r="I87" s="1">
        <f>E87+F87</f>
        <v>0.999</v>
      </c>
      <c r="J87" s="1">
        <f>E87-F87</f>
        <v>-1.0009999999999999</v>
      </c>
      <c r="K87" s="1" t="str">
        <f>IF(AND(E87&lt;=I87,E87&gt;=J87),"соответствует","не соответствует")</f>
        <v>соответствует</v>
      </c>
    </row>
    <row r="88" spans="1:12">
      <c r="D88">
        <v>300</v>
      </c>
      <c r="E88">
        <v>2E-3</v>
      </c>
      <c r="F88" s="1">
        <v>1</v>
      </c>
      <c r="G88">
        <f>E88-F88</f>
        <v>-0.998</v>
      </c>
      <c r="I88" s="1">
        <f>E88+F88</f>
        <v>1.002</v>
      </c>
      <c r="J88" s="1">
        <f>E88-F88</f>
        <v>-0.998</v>
      </c>
      <c r="K88" s="1" t="str">
        <f>IF(AND(E88&lt;=I88,E88&gt;=J88),"соответствует","не соответствует")</f>
        <v>соответствует</v>
      </c>
    </row>
    <row r="89" spans="1:12">
      <c r="D89">
        <v>400</v>
      </c>
      <c r="E89">
        <v>3.0000000000000001E-3</v>
      </c>
      <c r="F89" s="1">
        <v>1</v>
      </c>
      <c r="G89">
        <f>E89-F89</f>
        <v>-0.997</v>
      </c>
      <c r="I89" s="1">
        <f>E89+F89</f>
        <v>1.0029999999999999</v>
      </c>
      <c r="J89" s="1">
        <f>E89-F89</f>
        <v>-0.997</v>
      </c>
      <c r="K89" s="1" t="str">
        <f>IF(AND(E89&lt;=I89,E89&gt;=J89),"соответствует","не соответствует")</f>
        <v>соответствует</v>
      </c>
    </row>
    <row r="90" spans="1:12">
      <c r="F90" s="1"/>
      <c r="I90" s="1"/>
      <c r="J90" s="1"/>
      <c r="K90" s="1"/>
    </row>
    <row r="91" spans="1:12">
      <c r="F91" s="1"/>
      <c r="I91" s="1"/>
      <c r="J91" s="1"/>
      <c r="K91" s="1"/>
    </row>
    <row r="92" spans="1:12">
      <c r="F92" s="1"/>
      <c r="I92" s="1"/>
      <c r="J92" s="1"/>
      <c r="K92" s="1"/>
    </row>
    <row r="93" spans="1:12">
      <c r="A93" s="12" t="s">
        <v>63</v>
      </c>
      <c r="B93" t="s">
        <v>60</v>
      </c>
      <c r="C93" t="s">
        <v>64</v>
      </c>
      <c r="D93">
        <v>70</v>
      </c>
      <c r="E93">
        <v>0</v>
      </c>
      <c r="F93" s="1">
        <v>1</v>
      </c>
      <c r="G93">
        <f>E93-F93</f>
        <v>-1</v>
      </c>
      <c r="H93" t="s">
        <v>62</v>
      </c>
      <c r="I93" s="1">
        <f>E93+F93</f>
        <v>1</v>
      </c>
      <c r="J93" s="1">
        <f>E93-F93</f>
        <v>-1</v>
      </c>
      <c r="K93" s="1" t="str">
        <f>IF(AND((E93+F93)&lt;=I93, (E93-F93)&gt;=J93), "соответствует", "не соответствует")</f>
        <v>соответствует</v>
      </c>
      <c r="L93" s="2">
        <v>46470</v>
      </c>
    </row>
    <row r="94" spans="1:12">
      <c r="D94">
        <v>200</v>
      </c>
      <c r="E94">
        <v>1E-3</v>
      </c>
      <c r="F94" s="1">
        <v>1</v>
      </c>
      <c r="G94">
        <f>E94-F94</f>
        <v>-0.999</v>
      </c>
      <c r="I94" s="1">
        <f>E94+F94</f>
        <v>1.0009999999999999</v>
      </c>
      <c r="J94" s="1">
        <f>E94-F94</f>
        <v>-0.999</v>
      </c>
      <c r="K94" s="1" t="str">
        <f>IF(AND((E94+F94)&lt;=I94, (E94-F94)&gt;=J94), "соответствует", "не соответствует")</f>
        <v>соответствует</v>
      </c>
    </row>
    <row r="95" spans="1:12">
      <c r="D95">
        <v>350</v>
      </c>
      <c r="E95">
        <v>-1E-3</v>
      </c>
      <c r="F95" s="1">
        <v>1</v>
      </c>
      <c r="G95">
        <f>E95-F95</f>
        <v>-1.0009999999999999</v>
      </c>
      <c r="I95" s="1">
        <f>E95+F95</f>
        <v>0.999</v>
      </c>
      <c r="J95" s="1">
        <f>E95-F95</f>
        <v>-1.0009999999999999</v>
      </c>
      <c r="K95" s="1" t="str">
        <f>IF(AND((E95+F95)&lt;=I95, (E95-F95)&gt;=J95), "соответствует", "не соответствует")</f>
        <v>соответствует</v>
      </c>
    </row>
    <row r="96" spans="1:12">
      <c r="D96">
        <v>500</v>
      </c>
      <c r="E96">
        <v>2E-3</v>
      </c>
      <c r="F96" s="1">
        <v>1</v>
      </c>
      <c r="G96">
        <f>E96-F96</f>
        <v>-0.998</v>
      </c>
      <c r="I96" s="1">
        <f>E96+F96</f>
        <v>1.002</v>
      </c>
      <c r="J96" s="1">
        <f>E96-F96</f>
        <v>-0.998</v>
      </c>
      <c r="K96" s="1" t="str">
        <f>IF(AND((E96+F96)&lt;=I96, (E96-F96)&gt;=J96), "соответствует", "не соответствует")</f>
        <v>соответствует</v>
      </c>
    </row>
    <row r="97" spans="1:12">
      <c r="F97" s="1"/>
      <c r="I97" s="1"/>
      <c r="J97" s="1"/>
      <c r="K97" s="1"/>
    </row>
    <row r="98" spans="1:12">
      <c r="F98" s="1"/>
      <c r="I98" s="1"/>
      <c r="J98" s="1"/>
      <c r="K98" s="1"/>
    </row>
    <row r="99" spans="1:12">
      <c r="F99" s="1"/>
      <c r="I99" s="1"/>
      <c r="J99" s="1"/>
      <c r="K99" s="1"/>
    </row>
    <row r="100" spans="1:12" ht="30" customHeight="1">
      <c r="A100" s="12" t="s">
        <v>65</v>
      </c>
      <c r="B100" t="s">
        <v>66</v>
      </c>
      <c r="C100" t="s">
        <v>67</v>
      </c>
      <c r="D100">
        <v>0.2</v>
      </c>
      <c r="E100">
        <v>0</v>
      </c>
      <c r="F100" s="1">
        <v>0.05</v>
      </c>
      <c r="G100">
        <f>E100-F100</f>
        <v>-0.05</v>
      </c>
      <c r="H100" t="s">
        <v>68</v>
      </c>
      <c r="I100" s="1">
        <v>1</v>
      </c>
      <c r="J100" s="1">
        <v>-1</v>
      </c>
      <c r="K100" s="1" t="str">
        <f>IF(AND((E100+F100)&lt;=I100, (E100-F100)&gt;=J100), "соответствует", "не соответствует")</f>
        <v>соответствует</v>
      </c>
      <c r="L100" s="2">
        <v>46470</v>
      </c>
    </row>
    <row r="101" spans="1:12">
      <c r="D101">
        <v>0.5</v>
      </c>
      <c r="E101">
        <v>0</v>
      </c>
      <c r="F101" s="1">
        <v>0.05</v>
      </c>
      <c r="G101">
        <f>E101-F101</f>
        <v>-0.05</v>
      </c>
      <c r="I101" s="1">
        <v>1</v>
      </c>
      <c r="J101" s="1">
        <v>-1</v>
      </c>
      <c r="K101" s="1" t="str">
        <f>IF(AND((E101+F101)&lt;=I101, (E101-F101)&gt;=J101), "соответствует", "не соответствует")</f>
        <v>соответствует</v>
      </c>
    </row>
    <row r="102" spans="1:12">
      <c r="D102">
        <v>1</v>
      </c>
      <c r="E102">
        <v>0</v>
      </c>
      <c r="F102" s="1">
        <v>0.05</v>
      </c>
      <c r="G102">
        <f>E102-F102</f>
        <v>-0.05</v>
      </c>
      <c r="I102" s="1">
        <v>1</v>
      </c>
      <c r="J102" s="1">
        <v>-1</v>
      </c>
      <c r="K102" s="1" t="str">
        <f>IF(AND((E102+F102)&lt;=I102, (E102-F102)&gt;=J102), "соответствует", "не соответствует")</f>
        <v>соответствует</v>
      </c>
    </row>
    <row r="103" spans="1:12">
      <c r="F103" s="1" t="s">
        <v>69</v>
      </c>
      <c r="I103" s="1"/>
      <c r="J103" s="1"/>
      <c r="K103" s="1"/>
    </row>
    <row r="104" spans="1:12" ht="30" customHeight="1">
      <c r="A104" s="12" t="s">
        <v>70</v>
      </c>
      <c r="B104" t="s">
        <v>71</v>
      </c>
      <c r="C104" t="s">
        <v>72</v>
      </c>
      <c r="D104">
        <v>0.5</v>
      </c>
      <c r="E104">
        <v>0</v>
      </c>
      <c r="F104" s="1">
        <v>0.01</v>
      </c>
      <c r="G104">
        <f>E104-F104</f>
        <v>-0.01</v>
      </c>
      <c r="H104" t="s">
        <v>73</v>
      </c>
      <c r="I104" s="1">
        <v>0.02</v>
      </c>
      <c r="J104" s="1">
        <v>-0.02</v>
      </c>
      <c r="K104" s="1" t="str">
        <f>IF(AND((E104+F104)&lt;=I104, (E104-F104)&gt;=J104), "соответствует", "не соответствует")</f>
        <v>соответствует</v>
      </c>
      <c r="L104" s="2">
        <v>46470</v>
      </c>
    </row>
    <row r="105" spans="1:12">
      <c r="C105" t="s">
        <v>74</v>
      </c>
      <c r="D105">
        <v>50</v>
      </c>
      <c r="E105">
        <v>0</v>
      </c>
      <c r="F105" s="1">
        <v>0.01</v>
      </c>
      <c r="G105">
        <f>E105-F105</f>
        <v>-0.01</v>
      </c>
      <c r="I105" s="1">
        <v>0.03</v>
      </c>
      <c r="J105" s="1">
        <v>-0.03</v>
      </c>
      <c r="K105" s="1" t="str">
        <f>IF(AND((E105+F105)&lt;=I105, (E105-F105)&gt;=J105), "соответствует", "не соответствует")</f>
        <v>соответствует</v>
      </c>
    </row>
    <row r="106" spans="1:12">
      <c r="D106">
        <v>70</v>
      </c>
      <c r="E106">
        <v>0.02</v>
      </c>
      <c r="F106" s="1">
        <v>0.01</v>
      </c>
      <c r="G106">
        <f>E106-F106</f>
        <v>0.01</v>
      </c>
      <c r="I106" s="1">
        <v>0.03</v>
      </c>
      <c r="J106" s="1">
        <v>-0.03</v>
      </c>
      <c r="K106" s="1" t="str">
        <f>IF(AND((E106+F106)&lt;=I106, (E106-F106)&gt;=J106), "соответствует", "не соответствует")</f>
        <v>соответствует</v>
      </c>
    </row>
    <row r="107" spans="1:12">
      <c r="D107">
        <v>100</v>
      </c>
      <c r="E107">
        <v>0.02</v>
      </c>
      <c r="F107" s="1">
        <v>0.01</v>
      </c>
      <c r="G107">
        <f>E107-F107</f>
        <v>0.01</v>
      </c>
      <c r="I107" s="1">
        <v>0.03</v>
      </c>
      <c r="J107" s="1">
        <v>-0.03</v>
      </c>
      <c r="K107" s="1" t="str">
        <f>IF(AND((E107+F107)&lt;=I107, (E107-F107)&gt;=J107), "соответствует", "не соответствует")</f>
        <v>соответствует</v>
      </c>
    </row>
    <row r="108" spans="1:12">
      <c r="A108" s="1"/>
      <c r="D108">
        <v>150</v>
      </c>
      <c r="E108">
        <v>0.02</v>
      </c>
      <c r="F108" s="1">
        <v>0.01</v>
      </c>
      <c r="G108">
        <f>E108-F108</f>
        <v>0.01</v>
      </c>
      <c r="I108" s="1">
        <v>0.03</v>
      </c>
      <c r="J108" s="1">
        <v>-0.03</v>
      </c>
      <c r="K108" s="1" t="str">
        <f>IF(AND((E108+F108)&lt;=I108, (E108-F108)&gt;=J108), "соответствует", "не соответствует")</f>
        <v>соответствует</v>
      </c>
      <c r="L108" s="2"/>
    </row>
    <row r="109" spans="1:12">
      <c r="A109" s="1"/>
      <c r="F109" s="1"/>
      <c r="I109" s="1"/>
      <c r="J109" s="1"/>
      <c r="K109" s="1"/>
      <c r="L109" s="2"/>
    </row>
    <row r="110" spans="1:12">
      <c r="C110" t="s">
        <v>75</v>
      </c>
      <c r="D110">
        <v>0.5</v>
      </c>
      <c r="E110">
        <v>0</v>
      </c>
      <c r="F110" s="1">
        <v>0.01</v>
      </c>
      <c r="G110">
        <f>E110-F110</f>
        <v>-0.01</v>
      </c>
      <c r="I110" s="1">
        <v>0.02</v>
      </c>
      <c r="J110" s="1">
        <v>-0.02</v>
      </c>
      <c r="K110" s="1" t="str">
        <f>IF(AND((E110+F110)&lt;=I110, (E110-F110)&gt;=J110), "соответствует", "не соответствует")</f>
        <v>соответствует</v>
      </c>
    </row>
    <row r="111" spans="1:12">
      <c r="D111">
        <v>50</v>
      </c>
      <c r="E111">
        <v>0</v>
      </c>
      <c r="F111" s="1">
        <v>0.01</v>
      </c>
      <c r="G111">
        <f>E111-F111</f>
        <v>-0.01</v>
      </c>
      <c r="I111" s="1">
        <v>0.03</v>
      </c>
      <c r="J111" s="1">
        <v>-0.03</v>
      </c>
      <c r="K111" s="1" t="str">
        <f>IF(AND((E111+F111)&lt;=I111, (E111-F111)&gt;=J111), "соответствует", "не соответствует")</f>
        <v>соответствует</v>
      </c>
    </row>
    <row r="112" spans="1:12">
      <c r="D112">
        <v>70</v>
      </c>
      <c r="E112">
        <v>0</v>
      </c>
      <c r="F112" s="1">
        <v>0.01</v>
      </c>
      <c r="G112">
        <f>E112-F112</f>
        <v>-0.01</v>
      </c>
      <c r="I112" s="1">
        <v>0.03</v>
      </c>
      <c r="J112" s="1">
        <v>-0.03</v>
      </c>
      <c r="K112" s="1" t="str">
        <f>IF(AND((E112+F112)&lt;=I112, (E112-F112)&gt;=J112), "соответствует", "не соответствует")</f>
        <v>соответствует</v>
      </c>
    </row>
    <row r="113" spans="1:12">
      <c r="D113">
        <v>100</v>
      </c>
      <c r="E113">
        <v>0</v>
      </c>
      <c r="F113" s="1">
        <v>0.01</v>
      </c>
      <c r="G113">
        <f>E113-F113</f>
        <v>-0.01</v>
      </c>
      <c r="I113" s="1">
        <v>0.03</v>
      </c>
      <c r="J113" s="1">
        <v>-0.03</v>
      </c>
      <c r="K113" s="1" t="str">
        <f>IF(AND((E113+F113)&lt;=I113, (E113-F113)&gt;=J113), "соответствует", "не соответствует")</f>
        <v>соответствует</v>
      </c>
    </row>
    <row r="114" spans="1:12">
      <c r="D114">
        <v>150</v>
      </c>
      <c r="E114">
        <v>-0.02</v>
      </c>
      <c r="F114" s="1">
        <v>0.01</v>
      </c>
      <c r="G114">
        <f>E114-F114</f>
        <v>-0.03</v>
      </c>
      <c r="I114" s="1">
        <v>0.03</v>
      </c>
      <c r="J114" s="1">
        <v>-0.03</v>
      </c>
      <c r="K114" s="1" t="str">
        <f>IF(AND((E114+F114)&lt;=I114, (E114-F114)&gt;=J114), "соответствует", "не соответствует")</f>
        <v>соответствует</v>
      </c>
    </row>
    <row r="115" spans="1:12">
      <c r="F115" s="1"/>
      <c r="I115" s="1"/>
      <c r="J115" s="1"/>
      <c r="K115" s="1"/>
    </row>
    <row r="116" spans="1:12">
      <c r="C116" t="s">
        <v>76</v>
      </c>
      <c r="D116">
        <v>20</v>
      </c>
      <c r="E116">
        <v>0</v>
      </c>
      <c r="F116" s="1">
        <v>0.01</v>
      </c>
      <c r="G116">
        <f>E116-F116</f>
        <v>-0.01</v>
      </c>
      <c r="I116" s="1">
        <v>0.02</v>
      </c>
      <c r="J116" s="1">
        <v>-0.02</v>
      </c>
      <c r="K116" s="1" t="str">
        <f>IF(AND((E116+F116)&lt;=I116, (E116-F116)&gt;=J116), "соответствует", "не соответствует")</f>
        <v>соответствует</v>
      </c>
    </row>
    <row r="117" spans="1:12">
      <c r="F117" s="1"/>
      <c r="I117" s="1"/>
      <c r="J117" s="1"/>
      <c r="K117" s="1"/>
    </row>
    <row r="118" spans="1:12">
      <c r="A118" s="12" t="s">
        <v>77</v>
      </c>
      <c r="B118" t="s">
        <v>78</v>
      </c>
      <c r="C118" t="s">
        <v>79</v>
      </c>
      <c r="D118">
        <v>50</v>
      </c>
      <c r="E118">
        <v>2.9999999999999997E-4</v>
      </c>
      <c r="F118" s="1">
        <v>4.0000000000000002E-4</v>
      </c>
      <c r="G118">
        <f>E118-F118</f>
        <v>-1.0000000000000005E-4</v>
      </c>
      <c r="I118" s="1">
        <f>E118+F118</f>
        <v>6.9999999999999999E-4</v>
      </c>
      <c r="J118" s="1">
        <f>E118-F118</f>
        <v>-1.0000000000000005E-4</v>
      </c>
      <c r="K118" s="1" t="str">
        <f>IF(AND((E118+F118)&lt;=I118, (E118-F118)&gt;=J118), "соответствует", "не соответствует")</f>
        <v>соответствует</v>
      </c>
      <c r="L118" s="10">
        <v>46470</v>
      </c>
    </row>
    <row r="119" spans="1:12">
      <c r="F119" s="1"/>
      <c r="I119" s="1"/>
      <c r="J119" s="1"/>
      <c r="K119" s="1"/>
    </row>
    <row r="120" spans="1:12">
      <c r="F120" s="1"/>
      <c r="I120" s="1"/>
      <c r="J120" s="1"/>
      <c r="K120" s="1"/>
    </row>
    <row r="121" spans="1:12">
      <c r="F121" s="1"/>
      <c r="I121" s="1"/>
      <c r="J121" s="1"/>
      <c r="K121" s="1"/>
    </row>
    <row r="122" spans="1:12" ht="30" customHeight="1">
      <c r="A122" s="12" t="s">
        <v>80</v>
      </c>
      <c r="B122" t="s">
        <v>81</v>
      </c>
      <c r="C122" t="s">
        <v>82</v>
      </c>
      <c r="D122">
        <v>2500</v>
      </c>
      <c r="E122">
        <v>0.5</v>
      </c>
      <c r="F122" s="1">
        <v>0.3</v>
      </c>
      <c r="G122">
        <f>E122-F122</f>
        <v>0.2</v>
      </c>
      <c r="H122" t="s">
        <v>62</v>
      </c>
      <c r="I122" s="1">
        <v>0.9</v>
      </c>
      <c r="J122" s="1">
        <v>-0.9</v>
      </c>
      <c r="K122" s="1" t="str">
        <f>IF(AND((E122+F122)&lt;=I122, (E122-F122)&gt;=J122), "соответствует", "не соответствует")</f>
        <v>соответствует</v>
      </c>
      <c r="L122" s="10">
        <v>46470</v>
      </c>
    </row>
    <row r="123" spans="1:12">
      <c r="D123">
        <v>3500</v>
      </c>
      <c r="E123">
        <v>0.1</v>
      </c>
      <c r="F123" s="1">
        <v>0.3</v>
      </c>
      <c r="G123">
        <f>E123-F123</f>
        <v>-0.19999999999999998</v>
      </c>
      <c r="I123" s="1">
        <v>1.1000000000000001</v>
      </c>
      <c r="J123" s="1">
        <v>-1.1000000000000001</v>
      </c>
      <c r="K123" s="1" t="str">
        <f>IF(AND((E123+F123)&lt;=I123, (E123-F123)&gt;=J123), "соответствует", "не соответствует")</f>
        <v>соответствует</v>
      </c>
    </row>
    <row r="124" spans="1:12">
      <c r="D124">
        <v>5000</v>
      </c>
      <c r="E124">
        <v>-0.1</v>
      </c>
      <c r="F124" s="1">
        <v>0.3</v>
      </c>
      <c r="G124">
        <f>E124-F124</f>
        <v>-0.4</v>
      </c>
      <c r="I124" s="1">
        <v>1.4</v>
      </c>
      <c r="J124" s="1">
        <v>-1.4</v>
      </c>
      <c r="K124" s="1" t="str">
        <f>IF(AND((E124+F124)&lt;=I124, (E124-F124)&gt;=J124), "соответствует", "не соответствует")</f>
        <v>соответствует</v>
      </c>
    </row>
    <row r="125" spans="1:12">
      <c r="F125" s="1"/>
      <c r="I125" s="1"/>
      <c r="J125" s="1"/>
      <c r="K125" s="1"/>
    </row>
    <row r="126" spans="1:12">
      <c r="F126" s="1"/>
      <c r="I126" s="1"/>
      <c r="J126" s="1"/>
      <c r="K126" s="1"/>
    </row>
    <row r="127" spans="1:12">
      <c r="F127" s="1"/>
      <c r="I127" s="1"/>
      <c r="J127" s="1"/>
      <c r="K127" s="1"/>
    </row>
    <row r="128" spans="1:12" ht="30" customHeight="1">
      <c r="A128" s="12" t="s">
        <v>83</v>
      </c>
      <c r="B128" t="s">
        <v>84</v>
      </c>
      <c r="C128" t="s">
        <v>85</v>
      </c>
      <c r="D128">
        <v>0.5</v>
      </c>
      <c r="E128">
        <v>0</v>
      </c>
      <c r="F128" s="1">
        <v>0.02</v>
      </c>
      <c r="G128">
        <f>E128-F128</f>
        <v>-0.02</v>
      </c>
      <c r="I128" s="1">
        <v>0.03</v>
      </c>
      <c r="J128" s="1">
        <v>-0.03</v>
      </c>
      <c r="K128" s="1" t="str">
        <f>IF(AND((E128+F128)&lt;=I128, (E128-F128)&gt;=J128), "соответствует", "не соответствует")</f>
        <v>соответствует</v>
      </c>
    </row>
    <row r="129" spans="2:12">
      <c r="D129">
        <v>50</v>
      </c>
      <c r="E129">
        <v>0</v>
      </c>
      <c r="F129" s="1">
        <v>0.02</v>
      </c>
      <c r="G129">
        <f>E129-F129</f>
        <v>-0.02</v>
      </c>
      <c r="I129" s="1">
        <v>0.04</v>
      </c>
      <c r="J129" s="1">
        <v>-0.04</v>
      </c>
      <c r="K129" s="1" t="str">
        <f>IF(AND((E129+F129)&lt;=I129, (E129-F129)&gt;=J129), "соответствует", "не соответствует")</f>
        <v>соответствует</v>
      </c>
    </row>
    <row r="130" spans="2:12">
      <c r="C130" t="s">
        <v>74</v>
      </c>
      <c r="D130">
        <v>100</v>
      </c>
      <c r="E130">
        <v>0.02</v>
      </c>
      <c r="F130" s="1">
        <v>0.02</v>
      </c>
      <c r="G130">
        <f>E130-F130</f>
        <v>0</v>
      </c>
      <c r="I130" s="1">
        <v>0.04</v>
      </c>
      <c r="J130" s="1">
        <v>-0.04</v>
      </c>
      <c r="K130" s="1" t="str">
        <f>IF(AND((E130+F130)&lt;=I130, (E130-F130)&gt;=J130), "соответствует", "не соответствует")</f>
        <v>соответствует</v>
      </c>
    </row>
    <row r="131" spans="2:12">
      <c r="D131">
        <v>150</v>
      </c>
      <c r="E131">
        <v>0</v>
      </c>
      <c r="F131" s="1">
        <v>0.02</v>
      </c>
      <c r="G131">
        <f>E131-F131</f>
        <v>-0.02</v>
      </c>
      <c r="I131" s="1">
        <v>0.04</v>
      </c>
      <c r="J131" s="1">
        <v>-0.04</v>
      </c>
      <c r="K131" s="1" t="str">
        <f>IF(AND((E131+F131)&lt;=I131, (E131-F131)&gt;=J131), "соответствует", "не соответствует")</f>
        <v>соответствует</v>
      </c>
      <c r="L131" s="10"/>
    </row>
    <row r="132" spans="2:12">
      <c r="D132">
        <v>250</v>
      </c>
      <c r="E132">
        <v>0.02</v>
      </c>
      <c r="F132" s="1">
        <v>0.02</v>
      </c>
      <c r="G132">
        <f>E132-F132</f>
        <v>0</v>
      </c>
      <c r="I132" s="1">
        <v>0.04</v>
      </c>
      <c r="J132" s="1">
        <v>-0.04</v>
      </c>
      <c r="K132" s="1" t="str">
        <f>IF(AND((E132+F132)&lt;=I132, (E132-F132)&gt;=J132), "соответствует", "не соответствует")</f>
        <v>соответствует</v>
      </c>
    </row>
    <row r="133" spans="2:12">
      <c r="F133" s="1"/>
      <c r="I133" s="1"/>
      <c r="J133" s="1"/>
      <c r="K133" s="1"/>
    </row>
    <row r="134" spans="2:12">
      <c r="D134">
        <v>0.5</v>
      </c>
      <c r="E134">
        <v>0</v>
      </c>
      <c r="F134" s="1">
        <v>0.02</v>
      </c>
      <c r="G134">
        <f>E134-F134</f>
        <v>-0.02</v>
      </c>
      <c r="I134" s="1">
        <v>0.03</v>
      </c>
      <c r="J134" s="1">
        <v>-0.03</v>
      </c>
      <c r="K134" s="1" t="str">
        <f>IF(AND((E134+F134)&lt;=I134, (E134-F134)&gt;=J134), "соответствует", "не соответствует")</f>
        <v>соответствует</v>
      </c>
    </row>
    <row r="135" spans="2:12">
      <c r="D135">
        <v>50</v>
      </c>
      <c r="E135">
        <v>0.02</v>
      </c>
      <c r="F135" s="1">
        <v>0.02</v>
      </c>
      <c r="G135">
        <f>E135-F135</f>
        <v>0</v>
      </c>
      <c r="I135" s="1">
        <v>0.04</v>
      </c>
      <c r="J135" s="1">
        <v>-0.04</v>
      </c>
      <c r="K135" s="1" t="str">
        <f>IF(AND((E135+F135)&lt;=I135, (E135-F135)&gt;=J135), "соответствует", "не соответствует")</f>
        <v>соответствует</v>
      </c>
      <c r="L135" s="10"/>
    </row>
    <row r="136" spans="2:12">
      <c r="C136" t="s">
        <v>75</v>
      </c>
      <c r="D136">
        <v>100</v>
      </c>
      <c r="E136">
        <v>-0.02</v>
      </c>
      <c r="F136" s="1">
        <v>0.02</v>
      </c>
      <c r="G136">
        <f>E136-F136</f>
        <v>-0.04</v>
      </c>
      <c r="I136" s="1">
        <v>0.04</v>
      </c>
      <c r="J136" s="1">
        <v>-0.04</v>
      </c>
      <c r="K136" s="1" t="str">
        <f>IF(AND((E136+F136)&lt;=I136, (E136-F136)&gt;=J136), "соответствует", "не соответствует")</f>
        <v>соответствует</v>
      </c>
    </row>
    <row r="137" spans="2:12">
      <c r="D137">
        <v>150</v>
      </c>
      <c r="E137">
        <v>0</v>
      </c>
      <c r="F137" s="1">
        <v>0.02</v>
      </c>
      <c r="G137">
        <f>E137-F137</f>
        <v>-0.02</v>
      </c>
      <c r="I137" s="1">
        <v>0.04</v>
      </c>
      <c r="J137" s="1">
        <v>-0.04</v>
      </c>
      <c r="K137" s="1" t="str">
        <f>IF(AND((E137+F137)&lt;=I137, (E137-F137)&gt;=J137), "соответствует", "не соответствует")</f>
        <v>соответствует</v>
      </c>
    </row>
    <row r="138" spans="2:12">
      <c r="D138">
        <v>250</v>
      </c>
      <c r="E138">
        <v>0</v>
      </c>
      <c r="F138" s="1">
        <v>0.02</v>
      </c>
      <c r="G138">
        <f>E138-F138</f>
        <v>-0.02</v>
      </c>
      <c r="I138" s="1">
        <v>0.04</v>
      </c>
      <c r="J138" s="1">
        <v>-0.04</v>
      </c>
      <c r="K138" s="1" t="str">
        <f>IF(AND((E138+F138)&lt;=I138, (E138-F138)&gt;=J138), "соответствует", "не соответствует")</f>
        <v>соответствует</v>
      </c>
    </row>
    <row r="139" spans="2:12">
      <c r="F139" s="1"/>
      <c r="I139" s="1"/>
      <c r="J139" s="1"/>
      <c r="K139" s="1"/>
    </row>
    <row r="140" spans="2:12">
      <c r="C140" t="s">
        <v>76</v>
      </c>
      <c r="D140">
        <v>20</v>
      </c>
      <c r="E140">
        <v>0</v>
      </c>
      <c r="F140" s="1">
        <v>0.02</v>
      </c>
      <c r="G140">
        <f>E140-F140</f>
        <v>-0.02</v>
      </c>
      <c r="I140" s="1">
        <v>0.02</v>
      </c>
      <c r="J140" s="1">
        <v>-0.02</v>
      </c>
      <c r="K140" s="1" t="str">
        <f>IF(AND((E140+F140)&lt;=I140, (E140-F140)&gt;=J140), "соответствует", "не соответствует")</f>
        <v>соответствует</v>
      </c>
    </row>
    <row r="141" spans="2:12">
      <c r="I141" s="1"/>
      <c r="J141" s="1"/>
      <c r="K141" s="1"/>
      <c r="L141" s="10"/>
    </row>
    <row r="142" spans="2:12">
      <c r="I142" s="1"/>
      <c r="J142" s="1"/>
      <c r="K142" s="1"/>
    </row>
    <row r="144" spans="2:12">
      <c r="B144" s="9"/>
      <c r="C144" s="1"/>
      <c r="I144" s="1"/>
      <c r="J144" s="1"/>
      <c r="K144" s="1"/>
      <c r="L144" s="10"/>
    </row>
    <row r="145" spans="9:11">
      <c r="I145" s="1"/>
      <c r="J145" s="1"/>
      <c r="K145" s="1"/>
    </row>
    <row r="146" spans="9:11">
      <c r="I146" s="1"/>
      <c r="J146" s="1"/>
      <c r="K146" s="1"/>
    </row>
    <row r="147" spans="9:11">
      <c r="I147" s="1"/>
      <c r="J147" s="1"/>
      <c r="K147" s="1"/>
    </row>
    <row r="148" spans="9:11">
      <c r="I148" s="1"/>
      <c r="J148" s="1"/>
      <c r="K148" s="1"/>
    </row>
    <row r="149" spans="9:11">
      <c r="I149" s="1"/>
      <c r="J149" s="1"/>
      <c r="K149" s="1"/>
    </row>
  </sheetData>
  <mergeCells count="2">
    <mergeCell ref="A1:I1"/>
    <mergeCell ref="J1:R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D4" sqref="D4"/>
    </sheetView>
  </sheetViews>
  <sheetFormatPr defaultRowHeight="14.4"/>
  <sheetData>
    <row r="1" spans="1:2">
      <c r="A1" s="14" t="s">
        <v>86</v>
      </c>
      <c r="B1" s="14" t="s">
        <v>87</v>
      </c>
    </row>
    <row r="2" spans="1:2">
      <c r="A2" t="s">
        <v>88</v>
      </c>
      <c r="B2" t="s">
        <v>89</v>
      </c>
    </row>
    <row r="3" spans="1:2">
      <c r="A3" t="s">
        <v>90</v>
      </c>
      <c r="B3" t="str">
        <f>IF(AND((E3+F3)&lt;=I3,(E3-F3)&gt;=J3),"соответствует","не соответствует")</f>
        <v>соответствует</v>
      </c>
    </row>
    <row r="4" spans="1:2">
      <c r="A4" t="s">
        <v>91</v>
      </c>
      <c r="B4" t="s">
        <v>92</v>
      </c>
    </row>
    <row r="5" spans="1:2">
      <c r="A5" t="s">
        <v>93</v>
      </c>
      <c r="B5" t="s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2025</vt:lpstr>
      <vt:lpstr>2026</vt:lpstr>
      <vt:lpstr>2027</vt:lpstr>
      <vt:lpstr>Критерии_и_обоснование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Muhriddin Raupov</cp:lastModifiedBy>
  <dcterms:created xsi:type="dcterms:W3CDTF">2025-04-28T12:01:14Z</dcterms:created>
  <dcterms:modified xsi:type="dcterms:W3CDTF">2026-06-09T12:53:39Z</dcterms:modified>
</cp:coreProperties>
</file>